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yak\Downloads\"/>
    </mc:Choice>
  </mc:AlternateContent>
  <xr:revisionPtr revIDLastSave="0" documentId="13_ncr:1_{8109A30C-D543-4298-A89D-712E4CCD3BE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Borelog" sheetId="1" r:id="rId1"/>
    <sheet name="Rock profile" sheetId="7" r:id="rId2"/>
    <sheet name="SPT_Data" sheetId="2" r:id="rId3"/>
    <sheet name="ProjectInfo" sheetId="3" r:id="rId4"/>
    <sheet name="AGS_Mapping_Remarks" sheetId="9" r:id="rId5"/>
    <sheet name="DB_Extension_Note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5" i="2" l="1"/>
  <c r="O35" i="2"/>
  <c r="N35" i="2"/>
  <c r="M35" i="2"/>
  <c r="L35" i="2"/>
  <c r="K35" i="2"/>
  <c r="J35" i="2"/>
  <c r="I35" i="2"/>
  <c r="H35" i="2"/>
  <c r="P34" i="2"/>
  <c r="O34" i="2"/>
  <c r="N34" i="2"/>
  <c r="M34" i="2"/>
  <c r="L34" i="2"/>
  <c r="K34" i="2"/>
  <c r="J34" i="2"/>
  <c r="I34" i="2"/>
  <c r="H34" i="2"/>
  <c r="P33" i="2"/>
  <c r="O33" i="2"/>
  <c r="N33" i="2"/>
  <c r="M33" i="2"/>
  <c r="L33" i="2"/>
  <c r="K33" i="2"/>
  <c r="J33" i="2"/>
  <c r="I33" i="2"/>
  <c r="H33" i="2"/>
  <c r="P32" i="2"/>
  <c r="O32" i="2"/>
  <c r="N32" i="2"/>
  <c r="M32" i="2"/>
  <c r="L32" i="2"/>
  <c r="K32" i="2"/>
  <c r="J32" i="2"/>
  <c r="I32" i="2"/>
  <c r="H32" i="2"/>
  <c r="P31" i="2"/>
  <c r="O31" i="2"/>
  <c r="N31" i="2"/>
  <c r="M31" i="2"/>
  <c r="L31" i="2"/>
  <c r="K31" i="2"/>
  <c r="J31" i="2"/>
  <c r="I31" i="2"/>
  <c r="H31" i="2"/>
  <c r="P30" i="2"/>
  <c r="O30" i="2"/>
  <c r="N30" i="2"/>
  <c r="M30" i="2"/>
  <c r="L30" i="2"/>
  <c r="K30" i="2"/>
  <c r="J30" i="2"/>
  <c r="I30" i="2"/>
  <c r="H30" i="2"/>
  <c r="P29" i="2"/>
  <c r="O29" i="2"/>
  <c r="N29" i="2"/>
  <c r="M29" i="2"/>
  <c r="L29" i="2"/>
  <c r="K29" i="2"/>
  <c r="J29" i="2"/>
  <c r="I29" i="2"/>
  <c r="H29" i="2"/>
  <c r="P28" i="2"/>
  <c r="O28" i="2"/>
  <c r="N28" i="2"/>
  <c r="M28" i="2"/>
  <c r="L28" i="2"/>
  <c r="K28" i="2"/>
  <c r="J28" i="2"/>
  <c r="I28" i="2"/>
  <c r="H28" i="2"/>
  <c r="P27" i="2"/>
  <c r="O27" i="2"/>
  <c r="N27" i="2"/>
  <c r="M27" i="2"/>
  <c r="L27" i="2"/>
  <c r="K27" i="2"/>
  <c r="J27" i="2"/>
  <c r="I27" i="2"/>
  <c r="H27" i="2"/>
  <c r="P26" i="2"/>
  <c r="O26" i="2"/>
  <c r="N26" i="2"/>
  <c r="M26" i="2"/>
  <c r="L26" i="2"/>
  <c r="K26" i="2"/>
  <c r="J26" i="2"/>
  <c r="I26" i="2"/>
  <c r="H26" i="2"/>
  <c r="P25" i="2"/>
  <c r="O25" i="2"/>
  <c r="N25" i="2"/>
  <c r="M25" i="2"/>
  <c r="L25" i="2"/>
  <c r="K25" i="2"/>
  <c r="J25" i="2"/>
  <c r="I25" i="2"/>
  <c r="H25" i="2"/>
  <c r="P24" i="2"/>
  <c r="O24" i="2"/>
  <c r="N24" i="2"/>
  <c r="M24" i="2"/>
  <c r="L24" i="2"/>
  <c r="K24" i="2"/>
  <c r="J24" i="2"/>
  <c r="I24" i="2"/>
  <c r="H24" i="2"/>
  <c r="P23" i="2"/>
  <c r="O23" i="2"/>
  <c r="N23" i="2"/>
  <c r="M23" i="2"/>
  <c r="L23" i="2"/>
  <c r="K23" i="2"/>
  <c r="J23" i="2"/>
  <c r="I23" i="2"/>
  <c r="H23" i="2"/>
  <c r="P22" i="2"/>
  <c r="O22" i="2"/>
  <c r="N22" i="2"/>
  <c r="M22" i="2"/>
  <c r="L22" i="2"/>
  <c r="K22" i="2"/>
  <c r="J22" i="2"/>
  <c r="I22" i="2"/>
  <c r="H22" i="2"/>
  <c r="P21" i="2"/>
  <c r="O21" i="2"/>
  <c r="N21" i="2"/>
  <c r="M21" i="2"/>
  <c r="L21" i="2"/>
  <c r="K21" i="2"/>
  <c r="J21" i="2"/>
  <c r="I21" i="2"/>
  <c r="H21" i="2"/>
  <c r="P20" i="2"/>
  <c r="O20" i="2"/>
  <c r="N20" i="2"/>
  <c r="M20" i="2"/>
  <c r="L20" i="2"/>
  <c r="K20" i="2"/>
  <c r="J20" i="2"/>
  <c r="I20" i="2"/>
  <c r="H20" i="2"/>
  <c r="P19" i="2"/>
  <c r="O19" i="2"/>
  <c r="N19" i="2"/>
  <c r="M19" i="2"/>
  <c r="L19" i="2"/>
  <c r="K19" i="2"/>
  <c r="J19" i="2"/>
  <c r="I19" i="2"/>
  <c r="H19" i="2"/>
  <c r="P18" i="2"/>
  <c r="O18" i="2"/>
  <c r="N18" i="2"/>
  <c r="M18" i="2"/>
  <c r="L18" i="2"/>
  <c r="K18" i="2"/>
  <c r="J18" i="2"/>
  <c r="I18" i="2"/>
  <c r="H18" i="2"/>
  <c r="P17" i="2"/>
  <c r="O17" i="2"/>
  <c r="N17" i="2"/>
  <c r="M17" i="2"/>
  <c r="L17" i="2"/>
  <c r="K17" i="2"/>
  <c r="J17" i="2"/>
  <c r="I17" i="2"/>
  <c r="H17" i="2"/>
  <c r="P16" i="2"/>
  <c r="O16" i="2"/>
  <c r="N16" i="2"/>
  <c r="M16" i="2"/>
  <c r="L16" i="2"/>
  <c r="K16" i="2"/>
  <c r="J16" i="2"/>
  <c r="I16" i="2"/>
  <c r="H16" i="2"/>
  <c r="P15" i="2"/>
  <c r="O15" i="2"/>
  <c r="N15" i="2"/>
  <c r="M15" i="2"/>
  <c r="I15" i="2"/>
  <c r="H15" i="2"/>
  <c r="E15" i="2"/>
  <c r="O14" i="2"/>
  <c r="K14" i="2"/>
  <c r="H14" i="2"/>
  <c r="E14" i="2"/>
  <c r="O13" i="2"/>
  <c r="N13" i="2"/>
  <c r="M13" i="2"/>
  <c r="L13" i="2"/>
  <c r="H13" i="2"/>
  <c r="E13" i="2"/>
  <c r="M12" i="2"/>
  <c r="L12" i="2"/>
  <c r="J12" i="2"/>
  <c r="I12" i="2"/>
  <c r="H12" i="2"/>
  <c r="E12" i="2"/>
  <c r="O12" i="2" s="1"/>
  <c r="I11" i="2"/>
  <c r="H11" i="2"/>
  <c r="E11" i="2"/>
  <c r="O10" i="2"/>
  <c r="N10" i="2"/>
  <c r="I10" i="2"/>
  <c r="H10" i="2"/>
  <c r="E10" i="2"/>
  <c r="N9" i="2"/>
  <c r="I9" i="2"/>
  <c r="H9" i="2"/>
  <c r="E9" i="2"/>
  <c r="P8" i="2"/>
  <c r="O8" i="2"/>
  <c r="N8" i="2"/>
  <c r="M8" i="2"/>
  <c r="H8" i="2"/>
  <c r="E8" i="2"/>
  <c r="O7" i="2"/>
  <c r="N7" i="2"/>
  <c r="I7" i="2"/>
  <c r="H7" i="2"/>
  <c r="E7" i="2"/>
  <c r="O6" i="2"/>
  <c r="M6" i="2"/>
  <c r="L6" i="2"/>
  <c r="K6" i="2"/>
  <c r="I6" i="2"/>
  <c r="H6" i="2"/>
  <c r="E6" i="2"/>
  <c r="M5" i="2"/>
  <c r="I5" i="2"/>
  <c r="H5" i="2"/>
  <c r="H38" i="2" s="1"/>
  <c r="H37" i="2" s="1"/>
  <c r="F2" i="1" s="1"/>
  <c r="E5" i="2"/>
  <c r="O4" i="2"/>
  <c r="N4" i="2"/>
  <c r="I4" i="2"/>
  <c r="H4" i="2"/>
  <c r="E4" i="2"/>
  <c r="N3" i="2"/>
  <c r="M3" i="2"/>
  <c r="L3" i="2"/>
  <c r="I3" i="2"/>
  <c r="H3" i="2"/>
  <c r="E3" i="2"/>
  <c r="O2" i="2"/>
  <c r="N2" i="2"/>
  <c r="E2" i="2"/>
  <c r="H2" i="2" s="1"/>
  <c r="F11" i="1"/>
  <c r="A11" i="1"/>
  <c r="D11" i="1" s="1"/>
  <c r="A10" i="1"/>
  <c r="P4" i="2" s="1"/>
  <c r="D9" i="1"/>
  <c r="A9" i="1"/>
  <c r="O9" i="2" s="1"/>
  <c r="A8" i="1"/>
  <c r="A7" i="1"/>
  <c r="D6" i="1"/>
  <c r="A6" i="1"/>
  <c r="D5" i="1"/>
  <c r="A5" i="1"/>
  <c r="K12" i="2" s="1"/>
  <c r="A4" i="1"/>
  <c r="D3" i="1"/>
  <c r="A3" i="1"/>
  <c r="D2" i="1"/>
  <c r="P2" i="2" l="1"/>
  <c r="P11" i="2"/>
  <c r="P12" i="2"/>
  <c r="P6" i="2"/>
  <c r="P13" i="2"/>
  <c r="P7" i="2"/>
  <c r="P9" i="2"/>
  <c r="P3" i="2"/>
  <c r="P14" i="2"/>
  <c r="P10" i="2"/>
  <c r="P5" i="2"/>
  <c r="J14" i="2"/>
  <c r="J15" i="2"/>
  <c r="J9" i="2"/>
  <c r="J3" i="2"/>
  <c r="D4" i="1"/>
  <c r="J10" i="2"/>
  <c r="J4" i="2"/>
  <c r="J8" i="2"/>
  <c r="J2" i="2"/>
  <c r="J11" i="2"/>
  <c r="J5" i="2"/>
  <c r="J6" i="2"/>
  <c r="J13" i="2"/>
  <c r="J7" i="2"/>
  <c r="D10" i="1"/>
  <c r="K15" i="2"/>
  <c r="K9" i="2"/>
  <c r="K3" i="2"/>
  <c r="K11" i="2"/>
  <c r="K5" i="2"/>
  <c r="K8" i="2"/>
  <c r="K2" i="2"/>
  <c r="K13" i="2"/>
  <c r="K4" i="2"/>
  <c r="K7" i="2"/>
  <c r="K10" i="2"/>
  <c r="L15" i="2"/>
  <c r="L10" i="2"/>
  <c r="L4" i="2"/>
  <c r="L11" i="2"/>
  <c r="L5" i="2"/>
  <c r="L8" i="2"/>
  <c r="L2" i="2"/>
  <c r="L14" i="2"/>
  <c r="M10" i="2"/>
  <c r="M4" i="2"/>
  <c r="D7" i="1"/>
  <c r="M14" i="2"/>
  <c r="M2" i="2"/>
  <c r="M7" i="2"/>
  <c r="L9" i="2"/>
  <c r="L7" i="2"/>
  <c r="M9" i="2"/>
  <c r="M11" i="2"/>
  <c r="N11" i="2"/>
  <c r="N5" i="2"/>
  <c r="N38" i="2" s="1"/>
  <c r="N37" i="2" s="1"/>
  <c r="F8" i="1" s="1"/>
  <c r="D8" i="1"/>
  <c r="N12" i="2"/>
  <c r="N6" i="2"/>
  <c r="O3" i="2"/>
  <c r="I14" i="2"/>
  <c r="I8" i="2"/>
  <c r="I2" i="2"/>
  <c r="O11" i="2"/>
  <c r="O5" i="2"/>
  <c r="I13" i="2"/>
  <c r="N14" i="2"/>
  <c r="P38" i="2" l="1"/>
  <c r="P37" i="2" s="1"/>
  <c r="F10" i="1" s="1"/>
  <c r="M38" i="2"/>
  <c r="M37" i="2" s="1"/>
  <c r="F7" i="1" s="1"/>
  <c r="L38" i="2"/>
  <c r="L37" i="2" s="1"/>
  <c r="F6" i="1" s="1"/>
  <c r="I38" i="2"/>
  <c r="I37" i="2" s="1"/>
  <c r="F3" i="1" s="1"/>
  <c r="O38" i="2"/>
  <c r="O37" i="2" s="1"/>
  <c r="F9" i="1" s="1"/>
  <c r="K38" i="2"/>
  <c r="K37" i="2" s="1"/>
  <c r="F5" i="1" s="1"/>
  <c r="J38" i="2"/>
  <c r="J37" i="2" s="1"/>
  <c r="F4" i="1" s="1"/>
</calcChain>
</file>

<file path=xl/sharedStrings.xml><?xml version="1.0" encoding="utf-8"?>
<sst xmlns="http://schemas.openxmlformats.org/spreadsheetml/2006/main" count="433" uniqueCount="297">
  <si>
    <t>Depth From (m)</t>
  </si>
  <si>
    <t>Depth To (m)</t>
  </si>
  <si>
    <t>Soil Description</t>
  </si>
  <si>
    <t>Thickness</t>
  </si>
  <si>
    <t xml:space="preserve">Sand/ clay </t>
  </si>
  <si>
    <t xml:space="preserve">Average N vaue </t>
  </si>
  <si>
    <t>Filling Gravel</t>
  </si>
  <si>
    <t>Soft Sandy CLAY with Organic Matters</t>
  </si>
  <si>
    <t>C</t>
  </si>
  <si>
    <t>Very Soft Sandy CLAY</t>
  </si>
  <si>
    <t>Very Soft Silty CLAY with Shell Dust</t>
  </si>
  <si>
    <t>Very Soft Silty CLAY with Organic Matters</t>
  </si>
  <si>
    <t>Very Soft to Soft Silty CLAY</t>
  </si>
  <si>
    <t>Soft Silty CLAY with Shell Dust</t>
  </si>
  <si>
    <t>Soft Silty CLAY with Decayed Wood</t>
  </si>
  <si>
    <t>Stiff Sandy CLAY</t>
  </si>
  <si>
    <t>Dense Fine SAND</t>
  </si>
  <si>
    <t>S</t>
  </si>
  <si>
    <t>Rock Description</t>
  </si>
  <si>
    <t xml:space="preserve">Recovery </t>
  </si>
  <si>
    <t>RQD</t>
  </si>
  <si>
    <t xml:space="preserve">Remark </t>
  </si>
  <si>
    <t>SPT Depth (m)</t>
  </si>
  <si>
    <t>Blows @15cm</t>
  </si>
  <si>
    <t>Blows @30cm</t>
  </si>
  <si>
    <t>Blows @45cm</t>
  </si>
  <si>
    <t>SPT N-value</t>
  </si>
  <si>
    <t>Layer 1</t>
  </si>
  <si>
    <t xml:space="preserve">Layer 2 </t>
  </si>
  <si>
    <t>Layer 3</t>
  </si>
  <si>
    <t>Layer 4</t>
  </si>
  <si>
    <t>Layer 5</t>
  </si>
  <si>
    <t>Layer 6</t>
  </si>
  <si>
    <t>Layer 7</t>
  </si>
  <si>
    <t>Layer 8</t>
  </si>
  <si>
    <t>Layer 9</t>
  </si>
  <si>
    <t>Project Type</t>
  </si>
  <si>
    <t xml:space="preserve">PROPOSED G+1 ADMIN BUILDING </t>
  </si>
  <si>
    <t>Project Location</t>
  </si>
  <si>
    <t>CHAMPAKKULAM</t>
  </si>
  <si>
    <t>Client Name</t>
  </si>
  <si>
    <t>Mr. BEJOY MICHLE</t>
  </si>
  <si>
    <t>Borehole Number</t>
  </si>
  <si>
    <t>BH 2</t>
  </si>
  <si>
    <t>Drilling Start Date</t>
  </si>
  <si>
    <t>17.08.2026</t>
  </si>
  <si>
    <t>Drilling Completion Date</t>
  </si>
  <si>
    <t>Water Table (m)</t>
  </si>
  <si>
    <t>Termination Depth (m)</t>
  </si>
  <si>
    <t>Borehole Latitude</t>
  </si>
  <si>
    <t>Borehole Longitude</t>
  </si>
  <si>
    <t xml:space="preserve">Reduced Level </t>
  </si>
  <si>
    <t>Parameter</t>
  </si>
  <si>
    <t>AGS Equivalent / Database Remark</t>
  </si>
  <si>
    <t>Depth From</t>
  </si>
  <si>
    <t>GEOL.GEOL_TOP</t>
  </si>
  <si>
    <t>Depth To</t>
  </si>
  <si>
    <t>GEOL.GEOL_BASE</t>
  </si>
  <si>
    <t>GEOL.GEOL_DESC</t>
  </si>
  <si>
    <t>Derived: GEOL_BASE - GEOL_TOP</t>
  </si>
  <si>
    <t>Sand/Clay</t>
  </si>
  <si>
    <t>Custom derived material_class; use GEOL codes only if controlled</t>
  </si>
  <si>
    <t>Average N</t>
  </si>
  <si>
    <t>Derived layer average from ISPT.ISPT_NVAL; keep ISPT rows as source</t>
  </si>
  <si>
    <t>Depth From/To</t>
  </si>
  <si>
    <t>CORE_TOP/CORE_BASE for core run; GEOL_TOP/BASE for rock stratum</t>
  </si>
  <si>
    <t>Derived from top/base</t>
  </si>
  <si>
    <t>Recovery</t>
  </si>
  <si>
    <t>CORE.CORE_PREC (CORE_SREC if solid recovery separately)</t>
  </si>
  <si>
    <t>CORE.CORE_RQD</t>
  </si>
  <si>
    <t>Remark</t>
  </si>
  <si>
    <t>CORE_REM or GEOL_REM according to context</t>
  </si>
  <si>
    <t>SPT Depth</t>
  </si>
  <si>
    <t>ISPT.ISPT_TOP</t>
  </si>
  <si>
    <t>Blows first 150 mm</t>
  </si>
  <si>
    <t>ISPT_INC1; ISPT_SEAT where standard seating</t>
  </si>
  <si>
    <t>Blows second 150 mm</t>
  </si>
  <si>
    <t>ISPT_INC2</t>
  </si>
  <si>
    <t>Blows third 150 mm</t>
  </si>
  <si>
    <t>ISPT_INC3</t>
  </si>
  <si>
    <t>SPT N</t>
  </si>
  <si>
    <t>ISPT_NVAL; main drive also ISPT_MAIN</t>
  </si>
  <si>
    <t>Layer 1–9</t>
  </si>
  <si>
    <t>Derived join to GEOL intervals; no separate AGS storage</t>
  </si>
  <si>
    <t>Custom project_type; PROJ_MEMO only as nearest AGS text field</t>
  </si>
  <si>
    <t>PROJ.PROJ_LOC</t>
  </si>
  <si>
    <t>PROJ.PROJ_CLNT</t>
  </si>
  <si>
    <t>LOCA.LOCA_ID (set LOCA_TYPE for borehole)</t>
  </si>
  <si>
    <t>LOCA.LOCA_STAR</t>
  </si>
  <si>
    <t>LOCA.LOCA_ENDD</t>
  </si>
  <si>
    <t>WSTG/WSTD groundwater observation linked to LOCA_ID</t>
  </si>
  <si>
    <t>LOCA.LOCA_FDEP</t>
  </si>
  <si>
    <t>LOCA.LOCA_LAT (or projected LOCA coordinate fields if grid CRS)</t>
  </si>
  <si>
    <t>LOCA.LOCA_LON (or projected LOCA coordinate fields if grid CRS)</t>
  </si>
  <si>
    <t>LOCA.LOCA_GL</t>
  </si>
  <si>
    <t>AGS 4.2 Mapping Remarks – Input sheet V8</t>
  </si>
  <si>
    <t>Basis: project database schema workbook (ags42). Exact AGS mappings are used where defensible; derived/design values are deliberately kept outside AGS rather than forced into unrelated test fields.</t>
  </si>
  <si>
    <t>Database rule: AGS investigation records are the source of truth. Layer summaries, correlations, adopted design parameters and foundation/pile results should be stored in application extension tables with links back to the relevant LOCA/GEOL/ISPT/CORE/WSTG/WSTD source records.</t>
  </si>
  <si>
    <t>Important SPT rule: the current Blows @15/@30/@45 cm columns behave as three incremental 150 mm drives. In the UI rename them 0–150, 150–300 and 300–450 mm and populate ISPT_INC1/2/3 plus the corresponding penetration headings.</t>
  </si>
  <si>
    <t>ID</t>
  </si>
  <si>
    <t>Source sheet</t>
  </si>
  <si>
    <t>Source cell(s) / label</t>
  </si>
  <si>
    <t>Workbook parameter</t>
  </si>
  <si>
    <t>Role</t>
  </si>
  <si>
    <t>AGS group</t>
  </si>
  <si>
    <t>AGS heading(s) / equivalent</t>
  </si>
  <si>
    <t>Mapping status</t>
  </si>
  <si>
    <t>Database treatment / remark</t>
  </si>
  <si>
    <t>Developer note</t>
  </si>
  <si>
    <t>ProjectInfo</t>
  </si>
  <si>
    <t>A2</t>
  </si>
  <si>
    <t>Project metadata</t>
  </si>
  <si>
    <t>PROJ</t>
  </si>
  <si>
    <t>PROJ_MEMO (nearest)</t>
  </si>
  <si>
    <t>No direct AGS field</t>
  </si>
  <si>
    <t>Keep a custom project_type field. PROJ_MEMO may carry a textual copy for AGS export, but should not be the primary structured field.</t>
  </si>
  <si>
    <t>Do not overload PROJ_NAME with project type.</t>
  </si>
  <si>
    <t>A3</t>
  </si>
  <si>
    <t>PROJ_LOC</t>
  </si>
  <si>
    <t>Exact</t>
  </si>
  <si>
    <t>Store in ags42.PROJ.PROJ_LOC.</t>
  </si>
  <si>
    <t>A4</t>
  </si>
  <si>
    <t>PROJ_CLNT</t>
  </si>
  <si>
    <t>Store in ags42.PROJ.PROJ_CLNT.</t>
  </si>
  <si>
    <t>A5</t>
  </si>
  <si>
    <t>Location identifier</t>
  </si>
  <si>
    <t>LOCA</t>
  </si>
  <si>
    <t>LOCA_ID</t>
  </si>
  <si>
    <t>Primary investigation location identifier. Also set LOCA_TYPE to the controlled borehole code used by the database.</t>
  </si>
  <si>
    <t>A6</t>
  </si>
  <si>
    <t>Location/drilling metadata</t>
  </si>
  <si>
    <t>LOCA_STAR</t>
  </si>
  <si>
    <t>Store as timestamp/date in LOCA_STAR.</t>
  </si>
  <si>
    <t>A7</t>
  </si>
  <si>
    <t>LOCA_ENDD</t>
  </si>
  <si>
    <t>Store as timestamp/date in LOCA_ENDD.</t>
  </si>
  <si>
    <t>A8</t>
  </si>
  <si>
    <t>Groundwater observation</t>
  </si>
  <si>
    <t>WSTG / WSTD</t>
  </si>
  <si>
    <t>WSTG_DPTH; WSTG_DTIM; WSTD_NMIN/WSTD_POST as applicable</t>
  </si>
  <si>
    <t>Conditional / composite</t>
  </si>
  <si>
    <t>Create a groundwater observation linked to LOCA_ID. Use WSTG for the observed level/strike and WSTD details where a timed or stabilized reading is available.</t>
  </si>
  <si>
    <t>Retain observation time and whether the value is strike, standing or stabilized.</t>
  </si>
  <si>
    <t>A9</t>
  </si>
  <si>
    <t>Location metadata</t>
  </si>
  <si>
    <t>LOCA_FDEP</t>
  </si>
  <si>
    <t>Store final investigation depth in LOCA_FDEP.</t>
  </si>
  <si>
    <t>A10</t>
  </si>
  <si>
    <t>Location coordinates</t>
  </si>
  <si>
    <t>LOCA_LAT</t>
  </si>
  <si>
    <t>Exact if geographic latitude</t>
  </si>
  <si>
    <t>Use LOCA_LAT for geographic latitude. If projected grid coordinates are used instead, use the appropriate LOCA grid coordinate headings and datum/CRS metadata.</t>
  </si>
  <si>
    <t>A11</t>
  </si>
  <si>
    <t>LOCA_LON</t>
  </si>
  <si>
    <t>Exact if geographic longitude</t>
  </si>
  <si>
    <t>Use LOCA_LON for geographic longitude. If projected coordinates are used, use the appropriate LOCA grid coordinate headings and CRS metadata.</t>
  </si>
  <si>
    <t>A12</t>
  </si>
  <si>
    <t>Reduced Level</t>
  </si>
  <si>
    <t>Location level</t>
  </si>
  <si>
    <t>LOCA_GL</t>
  </si>
  <si>
    <t>Store ground level/reduced level in LOCA_GL and retain the vertical datum/reference.</t>
  </si>
  <si>
    <t>Borelog</t>
  </si>
  <si>
    <t>A1</t>
  </si>
  <si>
    <t>Stratigraphy</t>
  </si>
  <si>
    <t>GEOL</t>
  </si>
  <si>
    <t>GEOL_TOP</t>
  </si>
  <si>
    <t>Top depth of the logged geological/soil interval.</t>
  </si>
  <si>
    <t>B1</t>
  </si>
  <si>
    <t>GEOL_BASE</t>
  </si>
  <si>
    <t>Base depth of the logged geological/soil interval.</t>
  </si>
  <si>
    <t>C1</t>
  </si>
  <si>
    <t>GEOL_DESC</t>
  </si>
  <si>
    <t>Store the descriptive log in GEOL_DESC. Controlled geology/classification codes may additionally populate GEOL_GEOL/GEOL_GEO2/GEOL_LEG where implemented.</t>
  </si>
  <si>
    <t>D1</t>
  </si>
  <si>
    <t>Derived stratigraphy</t>
  </si>
  <si>
    <t>GEOL_BASE - GEOL_TOP</t>
  </si>
  <si>
    <t>Derived from AGS</t>
  </si>
  <si>
    <t>Calculate from GEOL_BASE minus GEOL_TOP; avoid duplicating as an independent source field.</t>
  </si>
  <si>
    <t>E1</t>
  </si>
  <si>
    <t>Sand/ clay</t>
  </si>
  <si>
    <t>Normalized material class</t>
  </si>
  <si>
    <t>GEOL_GEOL / GEOL_GEO2 only if controlled coding exists</t>
  </si>
  <si>
    <t>Near / derived</t>
  </si>
  <si>
    <t>Treat the simple S/C flag as an application-derived normalized_material_class. Do not replace the full GEOL_DESC with this flag.</t>
  </si>
  <si>
    <t>F1</t>
  </si>
  <si>
    <t>Average N value</t>
  </si>
  <si>
    <t>Layer interpretation</t>
  </si>
  <si>
    <t>ISPT + GEOL</t>
  </si>
  <si>
    <t>ISPT_NVAL (source rows)</t>
  </si>
  <si>
    <t>Calculate from ISPT_NVAL records within the GEOL interval. Store only as a custom derived-layer attribute with source traceability.</t>
  </si>
  <si>
    <t>Keep individual SPT records as the source of truth.</t>
  </si>
  <si>
    <t>Rock profile</t>
  </si>
  <si>
    <t>Rock/core interval</t>
  </si>
  <si>
    <t>CORE / GEOL</t>
  </si>
  <si>
    <t>CORE_TOP and/or GEOL_TOP</t>
  </si>
  <si>
    <t>Composite</t>
  </si>
  <si>
    <t>Use CORE_TOP when the row is a core run; use GEOL_TOP when it is a rock stratum. Split combined rows into linked CORE and GEOL records.</t>
  </si>
  <si>
    <t>CORE_BASE and/or GEOL_BASE</t>
  </si>
  <si>
    <t>Use CORE_BASE for a core run and GEOL_BASE for a logged rock stratum.</t>
  </si>
  <si>
    <t>Rock stratigraphy</t>
  </si>
  <si>
    <t>Exact for description</t>
  </si>
  <si>
    <t>Store rock description as GEOL_DESC; keep core-run measurements in CORE.</t>
  </si>
  <si>
    <t>Derived interval</t>
  </si>
  <si>
    <t>BASE - TOP</t>
  </si>
  <si>
    <t>Calculate from the applicable top/base fields.</t>
  </si>
  <si>
    <t>Core run result</t>
  </si>
  <si>
    <t>CORE</t>
  </si>
  <si>
    <t>CORE_PREC</t>
  </si>
  <si>
    <t>Exact / verify recovery definition</t>
  </si>
  <si>
    <t>Use CORE_PREC for percentage core recovery. If solid core recovery is later recorded separately, use CORE_SREC for that distinct value.</t>
  </si>
  <si>
    <t>CORE_RQD</t>
  </si>
  <si>
    <t>Store Rock Quality Designation in CORE_RQD.</t>
  </si>
  <si>
    <t>G1</t>
  </si>
  <si>
    <t>Core/geology remark</t>
  </si>
  <si>
    <t>CORE_REM or GEOL_REM</t>
  </si>
  <si>
    <t>Context dependent</t>
  </si>
  <si>
    <t>Use CORE_REM for core-run remarks and GEOL_REM for geological-description remarks.</t>
  </si>
  <si>
    <t>SPT_Data</t>
  </si>
  <si>
    <t>In-situ SPT</t>
  </si>
  <si>
    <t>ISPT</t>
  </si>
  <si>
    <t>ISPT_TOP</t>
  </si>
  <si>
    <t>Store the test top depth in ISPT_TOP.</t>
  </si>
  <si>
    <t>SPT increment</t>
  </si>
  <si>
    <t>ISPT_INC1; ISPT_SEAT where applicable</t>
  </si>
  <si>
    <t>Treat as the first 150 mm increment. Populate ISPT_INC1 and the corresponding penetration; for a standard seating drive also populate ISPT_SEAT.</t>
  </si>
  <si>
    <t>Rename UI label to 'Blows 0–150 mm'.</t>
  </si>
  <si>
    <t>Exact as increment</t>
  </si>
  <si>
    <t>The sheet uses this as the second 150 mm increment, not a cumulative 300 mm total. Populate ISPT_INC2 and matching penetration.</t>
  </si>
  <si>
    <t>Rename UI label to 'Blows 150–300 mm'.</t>
  </si>
  <si>
    <t>Third 150 mm increment; populate ISPT_INC3 and matching penetration.</t>
  </si>
  <si>
    <t>Rename UI label to 'Blows 300–450 mm'.</t>
  </si>
  <si>
    <t>In-situ SPT result</t>
  </si>
  <si>
    <t>ISPT_NVAL; ISPT_MAIN</t>
  </si>
  <si>
    <t>Store the reported N in ISPT_NVAL. For standard SPT, ISPT_MAIN represents the main drive, normally the second plus third 150 mm blow counts.</t>
  </si>
  <si>
    <t>H1:P1</t>
  </si>
  <si>
    <t>Layer 1 ... Layer 9</t>
  </si>
  <si>
    <t>Presentation/interpretation</t>
  </si>
  <si>
    <t>GEOL + ISPT</t>
  </si>
  <si>
    <t>No separate AGS heading</t>
  </si>
  <si>
    <t>Derived / avoid redundant storage</t>
  </si>
  <si>
    <t>Replace these columns with a relational join between ISPT_TOP and GEOL_TOP–GEOL_BASE; only a custom layer-average needs storage if required.</t>
  </si>
  <si>
    <t>Recommended Database Extensions Around the AGS 4.2 Base Schema</t>
  </si>
  <si>
    <t>These tables are recommended because AGS is an investigation exchange schema; the workbook also contains interpretation, correlations, design cases and calculation outputs that should remain traceable without corrupting raw AGS data.</t>
  </si>
  <si>
    <t>Extension table</t>
  </si>
  <si>
    <t>Purpose</t>
  </si>
  <si>
    <t>Minimum recommended fields</t>
  </si>
  <si>
    <t>Links to AGS</t>
  </si>
  <si>
    <t>Workbook content covered</t>
  </si>
  <si>
    <t>Implementation remark</t>
  </si>
  <si>
    <t>tdac_layer_summary</t>
  </si>
  <si>
    <t>Interpreted/normalized layer view</t>
  </si>
  <si>
    <t>layer_id, LOCA_ID, top, base, thickness, material_class, avg_spt_n, interpretation_version</t>
  </si>
  <si>
    <t>LOCA_ID; GEOL interval IDs; ISPT source IDs</t>
  </si>
  <si>
    <t>Borelog thickness, Sand/Clay flag, Average N; layer blocks in Working/SBC/Pile</t>
  </si>
  <si>
    <t>Derived cache/view; GEOL and ISPT remain source of truth.</t>
  </si>
  <si>
    <t>tdac_design_parameter</t>
  </si>
  <si>
    <t>Adopted/correlated geotechnical parameters</t>
  </si>
  <si>
    <t>parameter_id, LOCA_ID/zone_id, layer_id, parameter_code, value, unit, scope, basis_method, source_type, approved_by, version</t>
  </si>
  <si>
    <t>GEOL/ISPT/CORE and relevant lab/in-situ source record IDs</t>
  </si>
  <si>
    <t>c, φ, density, submerged density, Es, Poisson ratio, subgrade reaction</t>
  </si>
  <si>
    <t>Never write adopted/correlated values back into raw AGS laboratory result groups.</t>
  </si>
  <si>
    <t>tdac_foundation_design_case</t>
  </si>
  <si>
    <t>Shallow foundation input case</t>
  </si>
  <si>
    <t>case_id, project_id, LOCA_ID/zone_id, footing_type, B, L, embedment_depth, load, inclination, FS, groundwater_observation_id, method, version</t>
  </si>
  <si>
    <t>PROJ/LOCA; WSTG/WSTD source</t>
  </si>
  <si>
    <t>Footing geometry, load, FS, depth, water level, footing type</t>
  </si>
  <si>
    <t>One row per design alternative/load case.</t>
  </si>
  <si>
    <t>tdac_foundation_result</t>
  </si>
  <si>
    <t>Shallow foundation outputs</t>
  </si>
  <si>
    <t>result_id, case_id, calculated_sbc, adopted_sbc, settlement, governing_mode, check_status, units, calculation_version</t>
  </si>
  <si>
    <t>Indirect via case source links</t>
  </si>
  <si>
    <t>SBC, provided SBC, settlement, influence/depth factors</t>
  </si>
  <si>
    <t>Keep calculated and adopted values separate for auditability.</t>
  </si>
  <si>
    <t>tdac_pile_design_case</t>
  </si>
  <si>
    <t>Pile geometry and criteria</t>
  </si>
  <si>
    <t>case_id, project_id, LOCA_ID/zone_id, pile_type, diameter, toe_depth, design_load, uplift_load, end_condition, concrete_grade, negative_skin_friction_flag, bulb fields, method, version</t>
  </si>
  <si>
    <t>PROJ/LOCA; GEOL/ISPT; groundwater source</t>
  </si>
  <si>
    <t>Pile diameter/depth/load, bulb, dragload, concrete, FS, lateral criteria</t>
  </si>
  <si>
    <t>Option 1 / Option 2 become separate case IDs.</t>
  </si>
  <si>
    <t>tdac_pile_result</t>
  </si>
  <si>
    <t>Pile axial/uplift/lateral outputs</t>
  </si>
  <si>
    <t>result_id, case_id, shaft_capacity, end_bearing_capacity, axial_total, uplift_capacity, lateral_capacity, depth_of_fixity, deflection_check, units, governing_condition</t>
  </si>
  <si>
    <t>Indirect via pile case source links</t>
  </si>
  <si>
    <t>Friction, end bearing, axial total, uplift, lateral, fixity</t>
  </si>
  <si>
    <t>Use canonical SI units internally; tonnes should be display conversion only.</t>
  </si>
  <si>
    <t>tdac_calc_source_link</t>
  </si>
  <si>
    <t>Traceability from design values/results to evidence</t>
  </si>
  <si>
    <t>link_id, target_type, target_id, AGS_group, AGS_record_key, contribution_role, note</t>
  </si>
  <si>
    <t>Any AGS group/row key</t>
  </si>
  <si>
    <t>All derived values</t>
  </si>
  <si>
    <t>Essential for audit: user can trace every design parameter/result back to investigation evidence.</t>
  </si>
  <si>
    <t>tdac_calc_version_audit</t>
  </si>
  <si>
    <t>Formula/method/version history</t>
  </si>
  <si>
    <t>version_id, module, version, effective_date, description, formula_hash/code_commit, approved_by</t>
  </si>
  <si>
    <t>FILE only for source files; otherwise application audit</t>
  </si>
  <si>
    <t>Version info sheet and calculation revisions</t>
  </si>
  <si>
    <t>Do not rely on AGS FILE alone for calculation-engine revision history.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</si>
</sst>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_ "/>
  </numFmts>
  <fonts count="6" x14ac:knownFonts="1">
    <font>
      <sz val="11"/>
      <color theme="1"/>
      <name val="Calibri"/>
    </font>
    <font>
      <sz val="11"/>
      <color theme="1"/>
      <name val="Book Antiqua"/>
    </font>
    <font>
      <b/>
      <sz val="11"/>
      <color theme="1"/>
      <name val="Calibri"/>
    </font>
    <font>
      <b/>
      <sz val="14"/>
      <color rgb="FFFFFFFF"/>
      <name val="Calibri"/>
    </font>
    <font>
      <sz val="11"/>
      <color rgb="FF1F1F1F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FFD966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65" fontId="0" fillId="0" borderId="0" xfId="0" applyNumberFormat="1"/>
    <xf numFmtId="0" fontId="1" fillId="0" borderId="3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5" fillId="5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vertical="top" wrapText="1"/>
    </xf>
    <xf numFmtId="0" fontId="3" fillId="2" borderId="0" xfId="0" applyFont="1" applyFill="1" applyAlignment="1">
      <alignment horizontal="center"/>
    </xf>
    <xf numFmtId="0" fontId="0" fillId="3" borderId="0" xfId="0" applyFill="1" applyAlignment="1">
      <alignment wrapText="1"/>
    </xf>
  </cellXfs>
  <cellStyles count="1">
    <cellStyle name="Normal" xfId="0" builtinId="0"/>
  </cellStyles>
  <dxfs count="5">
    <dxf>
      <fill>
        <patternFill patternType="solid">
          <bgColor rgb="FFE4DFEC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GSMappingTable" displayName="AGSMappingTable" ref="A6:J36" totalsRowShown="0">
  <tableColumns count="10">
    <tableColumn id="1" xr3:uid="{00000000-0010-0000-0000-000001000000}" name="ID"/>
    <tableColumn id="2" xr3:uid="{00000000-0010-0000-0000-000002000000}" name="Source sheet"/>
    <tableColumn id="3" xr3:uid="{00000000-0010-0000-0000-000003000000}" name="Source cell(s) / label"/>
    <tableColumn id="4" xr3:uid="{00000000-0010-0000-0000-000004000000}" name="Workbook parameter"/>
    <tableColumn id="5" xr3:uid="{00000000-0010-0000-0000-000005000000}" name="Role"/>
    <tableColumn id="6" xr3:uid="{00000000-0010-0000-0000-000006000000}" name="AGS group"/>
    <tableColumn id="7" xr3:uid="{00000000-0010-0000-0000-000007000000}" name="AGS heading(s) / equivalent"/>
    <tableColumn id="8" xr3:uid="{00000000-0010-0000-0000-000008000000}" name="Mapping status"/>
    <tableColumn id="9" xr3:uid="{00000000-0010-0000-0000-000009000000}" name="Database treatment / remark"/>
    <tableColumn id="10" xr3:uid="{00000000-0010-0000-0000-00000A000000}" name="Developer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BExtensionTable" displayName="DBExtensionTable" ref="A4:F12" totalsRowShown="0">
  <tableColumns count="6">
    <tableColumn id="1" xr3:uid="{00000000-0010-0000-0100-000001000000}" name="Extension table"/>
    <tableColumn id="2" xr3:uid="{00000000-0010-0000-0100-000002000000}" name="Purpose"/>
    <tableColumn id="3" xr3:uid="{00000000-0010-0000-0100-000003000000}" name="Minimum recommended fields"/>
    <tableColumn id="4" xr3:uid="{00000000-0010-0000-0100-000004000000}" name="Links to AGS"/>
    <tableColumn id="5" xr3:uid="{00000000-0010-0000-0100-000005000000}" name="Workbook content covered"/>
    <tableColumn id="6" xr3:uid="{00000000-0010-0000-0100-000006000000}" name="Implementation remar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/>
  </sheetViews>
  <sheetFormatPr defaultColWidth="9" defaultRowHeight="14.4" x14ac:dyDescent="0.3"/>
  <cols>
    <col min="2" max="2" width="9.88671875" customWidth="1"/>
    <col min="3" max="3" width="75.109375" customWidth="1"/>
    <col min="6" max="6" width="15.44140625" customWidth="1"/>
    <col min="8" max="8" width="25" customWidth="1"/>
    <col min="9" max="9" width="52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H1" s="14" t="s">
        <v>52</v>
      </c>
      <c r="I1" s="14" t="s">
        <v>53</v>
      </c>
    </row>
    <row r="2" spans="1:9" x14ac:dyDescent="0.3">
      <c r="A2">
        <v>0</v>
      </c>
      <c r="B2">
        <v>1.5</v>
      </c>
      <c r="C2" s="6" t="s">
        <v>6</v>
      </c>
      <c r="D2">
        <f>B2-A2</f>
        <v>1.5</v>
      </c>
      <c r="F2">
        <f>SPT_Data!H37</f>
        <v>2</v>
      </c>
      <c r="H2" s="1" t="s">
        <v>54</v>
      </c>
      <c r="I2" s="1" t="s">
        <v>55</v>
      </c>
    </row>
    <row r="3" spans="1:9" x14ac:dyDescent="0.3">
      <c r="A3">
        <f t="shared" ref="A3:A9" si="0">B2</f>
        <v>1.5</v>
      </c>
      <c r="B3">
        <v>2.5</v>
      </c>
      <c r="C3" s="7" t="s">
        <v>7</v>
      </c>
      <c r="D3">
        <f t="shared" ref="D3:D11" si="1">B3-A3</f>
        <v>1</v>
      </c>
      <c r="E3" t="s">
        <v>8</v>
      </c>
      <c r="F3">
        <f>SPT_Data!I37</f>
        <v>2</v>
      </c>
      <c r="H3" s="1" t="s">
        <v>56</v>
      </c>
      <c r="I3" s="1" t="s">
        <v>57</v>
      </c>
    </row>
    <row r="4" spans="1:9" x14ac:dyDescent="0.3">
      <c r="A4">
        <f t="shared" si="0"/>
        <v>2.5</v>
      </c>
      <c r="B4">
        <v>3.6</v>
      </c>
      <c r="C4" s="7" t="s">
        <v>9</v>
      </c>
      <c r="D4">
        <f t="shared" si="1"/>
        <v>1.1000000000000001</v>
      </c>
      <c r="E4" t="s">
        <v>8</v>
      </c>
      <c r="F4">
        <f>SPT_Data!J37</f>
        <v>1</v>
      </c>
      <c r="H4" s="1" t="s">
        <v>2</v>
      </c>
      <c r="I4" s="1" t="s">
        <v>58</v>
      </c>
    </row>
    <row r="5" spans="1:9" x14ac:dyDescent="0.3">
      <c r="A5">
        <f t="shared" si="0"/>
        <v>3.6</v>
      </c>
      <c r="B5">
        <v>5.8</v>
      </c>
      <c r="C5" s="7" t="s">
        <v>10</v>
      </c>
      <c r="D5">
        <f t="shared" si="1"/>
        <v>2.1999999999999997</v>
      </c>
      <c r="E5" t="s">
        <v>8</v>
      </c>
      <c r="F5">
        <f>SPT_Data!K37</f>
        <v>0</v>
      </c>
      <c r="H5" s="1" t="s">
        <v>3</v>
      </c>
      <c r="I5" s="1" t="s">
        <v>59</v>
      </c>
    </row>
    <row r="6" spans="1:9" ht="28.8" x14ac:dyDescent="0.3">
      <c r="A6">
        <f t="shared" si="0"/>
        <v>5.8</v>
      </c>
      <c r="B6">
        <v>6.8</v>
      </c>
      <c r="C6" s="7" t="s">
        <v>11</v>
      </c>
      <c r="D6">
        <f t="shared" si="1"/>
        <v>1</v>
      </c>
      <c r="E6" t="s">
        <v>8</v>
      </c>
      <c r="F6">
        <f>SPT_Data!L37</f>
        <v>0</v>
      </c>
      <c r="H6" s="1" t="s">
        <v>60</v>
      </c>
      <c r="I6" s="1" t="s">
        <v>61</v>
      </c>
    </row>
    <row r="7" spans="1:9" ht="28.8" x14ac:dyDescent="0.3">
      <c r="A7">
        <f t="shared" si="0"/>
        <v>6.8</v>
      </c>
      <c r="B7">
        <v>11.5</v>
      </c>
      <c r="C7" s="7" t="s">
        <v>12</v>
      </c>
      <c r="D7">
        <f t="shared" si="1"/>
        <v>4.7</v>
      </c>
      <c r="E7" t="s">
        <v>8</v>
      </c>
      <c r="F7">
        <f>SPT_Data!M37</f>
        <v>1.6666666666666667</v>
      </c>
      <c r="H7" s="1" t="s">
        <v>62</v>
      </c>
      <c r="I7" s="1" t="s">
        <v>63</v>
      </c>
    </row>
    <row r="8" spans="1:9" x14ac:dyDescent="0.3">
      <c r="A8">
        <f t="shared" si="0"/>
        <v>11.5</v>
      </c>
      <c r="B8">
        <v>14.4</v>
      </c>
      <c r="C8" s="7" t="s">
        <v>13</v>
      </c>
      <c r="D8">
        <f t="shared" si="1"/>
        <v>2.9000000000000004</v>
      </c>
      <c r="E8" t="s">
        <v>8</v>
      </c>
      <c r="F8">
        <f>SPT_Data!N37</f>
        <v>3</v>
      </c>
    </row>
    <row r="9" spans="1:9" x14ac:dyDescent="0.3">
      <c r="A9">
        <f t="shared" si="0"/>
        <v>14.4</v>
      </c>
      <c r="B9">
        <v>17.399999999999999</v>
      </c>
      <c r="C9" s="7" t="s">
        <v>14</v>
      </c>
      <c r="D9">
        <f t="shared" si="1"/>
        <v>2.9999999999999982</v>
      </c>
      <c r="E9" t="s">
        <v>8</v>
      </c>
      <c r="F9">
        <f>SPT_Data!O37</f>
        <v>4</v>
      </c>
    </row>
    <row r="10" spans="1:9" x14ac:dyDescent="0.3">
      <c r="A10">
        <f t="shared" ref="A10:A11" si="2">B9</f>
        <v>17.399999999999999</v>
      </c>
      <c r="B10">
        <v>19</v>
      </c>
      <c r="C10" s="7" t="s">
        <v>15</v>
      </c>
      <c r="D10">
        <f t="shared" si="1"/>
        <v>1.6000000000000014</v>
      </c>
      <c r="E10" t="s">
        <v>8</v>
      </c>
      <c r="F10">
        <f>SPT_Data!P37</f>
        <v>12</v>
      </c>
    </row>
    <row r="11" spans="1:9" x14ac:dyDescent="0.3">
      <c r="A11">
        <f t="shared" si="2"/>
        <v>19</v>
      </c>
      <c r="B11">
        <v>23.45</v>
      </c>
      <c r="C11" s="7" t="s">
        <v>16</v>
      </c>
      <c r="D11">
        <f t="shared" si="1"/>
        <v>4.4499999999999993</v>
      </c>
      <c r="E11" t="s">
        <v>17</v>
      </c>
      <c r="F11">
        <f>SPT_Data!Q37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/>
  </sheetViews>
  <sheetFormatPr defaultRowHeight="14.4" x14ac:dyDescent="0.3"/>
  <cols>
    <col min="1" max="1" width="14.6640625" customWidth="1"/>
    <col min="2" max="2" width="12.33203125" customWidth="1"/>
    <col min="3" max="3" width="38.88671875" customWidth="1"/>
    <col min="9" max="9" width="25" customWidth="1"/>
    <col min="10" max="10" width="52" customWidth="1"/>
  </cols>
  <sheetData>
    <row r="1" spans="1:10" x14ac:dyDescent="0.3">
      <c r="A1" s="2" t="s">
        <v>0</v>
      </c>
      <c r="B1" s="2" t="s">
        <v>1</v>
      </c>
      <c r="C1" s="2" t="s">
        <v>18</v>
      </c>
      <c r="D1" s="2" t="s">
        <v>3</v>
      </c>
      <c r="E1" s="3" t="s">
        <v>19</v>
      </c>
      <c r="F1" s="3" t="s">
        <v>20</v>
      </c>
      <c r="G1" s="3" t="s">
        <v>21</v>
      </c>
      <c r="I1" s="14" t="s">
        <v>52</v>
      </c>
      <c r="J1" s="14" t="s">
        <v>53</v>
      </c>
    </row>
    <row r="2" spans="1:10" ht="28.8" x14ac:dyDescent="0.3">
      <c r="I2" s="1" t="s">
        <v>64</v>
      </c>
      <c r="J2" s="1" t="s">
        <v>65</v>
      </c>
    </row>
    <row r="3" spans="1:10" x14ac:dyDescent="0.3">
      <c r="I3" s="1" t="s">
        <v>18</v>
      </c>
      <c r="J3" s="1" t="s">
        <v>58</v>
      </c>
    </row>
    <row r="4" spans="1:10" x14ac:dyDescent="0.3">
      <c r="I4" s="1" t="s">
        <v>3</v>
      </c>
      <c r="J4" s="1" t="s">
        <v>66</v>
      </c>
    </row>
    <row r="5" spans="1:10" x14ac:dyDescent="0.3">
      <c r="I5" s="1" t="s">
        <v>67</v>
      </c>
      <c r="J5" s="1" t="s">
        <v>68</v>
      </c>
    </row>
    <row r="6" spans="1:10" x14ac:dyDescent="0.3">
      <c r="I6" s="1" t="s">
        <v>20</v>
      </c>
      <c r="J6" s="1" t="s">
        <v>69</v>
      </c>
    </row>
    <row r="7" spans="1:10" x14ac:dyDescent="0.3">
      <c r="I7" s="1" t="s">
        <v>70</v>
      </c>
      <c r="J7" s="1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8"/>
  <sheetViews>
    <sheetView workbookViewId="0">
      <selection activeCell="R2" sqref="R2:S7"/>
    </sheetView>
  </sheetViews>
  <sheetFormatPr defaultColWidth="9" defaultRowHeight="14.4" x14ac:dyDescent="0.3"/>
  <cols>
    <col min="5" max="5" width="13.88671875" customWidth="1"/>
    <col min="18" max="18" width="25" customWidth="1"/>
    <col min="19" max="19" width="52" customWidth="1"/>
  </cols>
  <sheetData>
    <row r="1" spans="1:19" x14ac:dyDescent="0.3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R1" s="14" t="s">
        <v>52</v>
      </c>
      <c r="S1" s="14" t="s">
        <v>53</v>
      </c>
    </row>
    <row r="2" spans="1:19" x14ac:dyDescent="0.3">
      <c r="A2">
        <v>1</v>
      </c>
      <c r="B2">
        <v>1</v>
      </c>
      <c r="C2">
        <v>1</v>
      </c>
      <c r="D2">
        <v>1</v>
      </c>
      <c r="E2">
        <f>D2+C2</f>
        <v>2</v>
      </c>
      <c r="H2">
        <f>IF(A2="","",IF(A2=Borelog!$A$2,E2,IF(A2&gt;Borelog!$A$2,IF(SPT_Data!A2&lt;Borelog!$B$2,SPT_Data!E2,""),"")))</f>
        <v>2</v>
      </c>
      <c r="I2" t="str">
        <f>IF(A2="","",IF(A2=Borelog!$A$3,E2,IF(A2&gt;Borelog!$A$3,IF(SPT_Data!A2&lt;Borelog!$B$3,SPT_Data!E2,""),"")))</f>
        <v/>
      </c>
      <c r="J2" t="str">
        <f>IF(A2="","",IF(A2=Borelog!$A$4,E2,IF(A2&gt;Borelog!$A$4,IF(SPT_Data!A2&lt;Borelog!$B$4,SPT_Data!E2,""),"")))</f>
        <v/>
      </c>
      <c r="K2" t="str">
        <f>IF(A2="","",IF(A2=Borelog!$A$5,E2,IF(A2&gt;Borelog!$A$5,IF(SPT_Data!A2&lt;Borelog!$B$5,SPT_Data!E2,""),"")))</f>
        <v/>
      </c>
      <c r="L2" t="str">
        <f>IF(A2="","",IF(A2=Borelog!$A$6,E2,IF(A2&gt;Borelog!$A$6,IF(SPT_Data!A2&lt;Borelog!$B$6,SPT_Data!E2,""),"")))</f>
        <v/>
      </c>
      <c r="M2" t="str">
        <f>IF(A2="","",IF(A2=Borelog!$A$7,E2,IF(A2&gt;Borelog!$A$7,IF(SPT_Data!A2&lt;Borelog!$B$7,SPT_Data!E2,""),"")))</f>
        <v/>
      </c>
      <c r="N2" t="str">
        <f>IF(A2="","",IF(A2=Borelog!$A$8,E2,IF(A2&gt;Borelog!$A$8,IF(SPT_Data!A2&lt;Borelog!$B$8,SPT_Data!E2,""),"")))</f>
        <v/>
      </c>
      <c r="O2" t="str">
        <f>IF(A2="","",IF(A2=Borelog!$A$9,E2,IF(A2&gt;Borelog!$A$9,IF(SPT_Data!A2&lt;Borelog!$B$9,SPT_Data!E2,""),"")))</f>
        <v/>
      </c>
      <c r="P2" t="str">
        <f>IF(A2="","",IF(A2=Borelog!$A$10,E2,IF(A2&gt;Borelog!$A$10,IF(SPT_Data!A2&lt;Borelog!$B$10,SPT_Data!E2,""),"")))</f>
        <v/>
      </c>
      <c r="R2" s="1" t="s">
        <v>72</v>
      </c>
      <c r="S2" s="1" t="s">
        <v>73</v>
      </c>
    </row>
    <row r="3" spans="1:19" x14ac:dyDescent="0.3">
      <c r="A3">
        <v>2</v>
      </c>
      <c r="B3">
        <v>1</v>
      </c>
      <c r="C3">
        <v>1</v>
      </c>
      <c r="D3">
        <v>1</v>
      </c>
      <c r="E3">
        <f t="shared" ref="E3:E15" si="0">D3+C3</f>
        <v>2</v>
      </c>
      <c r="H3" t="str">
        <f>IF(A3="","",IF(A3=Borelog!$A$2,E3,IF(A3&gt;Borelog!$A$2,IF(SPT_Data!A3&lt;Borelog!$B$2,SPT_Data!E3,""),"")))</f>
        <v/>
      </c>
      <c r="I3">
        <f>IF(A3="","",IF(A3=Borelog!$A$3,E3,IF(A3&gt;Borelog!$A$3,IF(SPT_Data!A3&lt;Borelog!$B$3,SPT_Data!E3,""),"")))</f>
        <v>2</v>
      </c>
      <c r="J3" t="str">
        <f>IF(A3="","",IF(A3=Borelog!$A$4,E3,IF(A3&gt;Borelog!$A$4,IF(SPT_Data!A3&lt;Borelog!$B$4,SPT_Data!E3,""),"")))</f>
        <v/>
      </c>
      <c r="K3" t="str">
        <f>IF(A3="","",IF(A3=Borelog!$A$5,E3,IF(A3&gt;Borelog!$A$5,IF(SPT_Data!A3&lt;Borelog!$B$5,SPT_Data!E3,""),"")))</f>
        <v/>
      </c>
      <c r="L3" t="str">
        <f>IF(A3="","",IF(A3=Borelog!$A$6,E3,IF(A3&gt;Borelog!$A$6,IF(SPT_Data!A3&lt;Borelog!$B$6,SPT_Data!E3,""),"")))</f>
        <v/>
      </c>
      <c r="M3" t="str">
        <f>IF(A3="","",IF(A3=Borelog!$A$7,E3,IF(A3&gt;Borelog!$A$7,IF(SPT_Data!A3&lt;Borelog!$B$7,SPT_Data!E3,""),"")))</f>
        <v/>
      </c>
      <c r="N3" t="str">
        <f>IF(A3="","",IF(A3=Borelog!$A$8,E3,IF(A3&gt;Borelog!$A$8,IF(SPT_Data!A3&lt;Borelog!$B$8,SPT_Data!E3,""),"")))</f>
        <v/>
      </c>
      <c r="O3" t="str">
        <f>IF(A3="","",IF(A3=Borelog!$A$9,E3,IF(A3&gt;Borelog!$A$9,IF(SPT_Data!A3&lt;Borelog!$B$9,SPT_Data!E3,""),"")))</f>
        <v/>
      </c>
      <c r="P3" t="str">
        <f>IF(A3="","",IF(A3=Borelog!$A$10,E3,IF(A3&gt;Borelog!$A$10,IF(SPT_Data!A3&lt;Borelog!$B$10,SPT_Data!E3,""),"")))</f>
        <v/>
      </c>
      <c r="R3" s="1" t="s">
        <v>74</v>
      </c>
      <c r="S3" s="1" t="s">
        <v>75</v>
      </c>
    </row>
    <row r="4" spans="1:19" x14ac:dyDescent="0.3">
      <c r="A4">
        <v>3</v>
      </c>
      <c r="B4">
        <v>1</v>
      </c>
      <c r="C4">
        <v>1</v>
      </c>
      <c r="D4">
        <v>0</v>
      </c>
      <c r="E4">
        <f t="shared" si="0"/>
        <v>1</v>
      </c>
      <c r="H4" t="str">
        <f>IF(A4="","",IF(A4=Borelog!$A$2,E4,IF(A4&gt;Borelog!$A$2,IF(SPT_Data!A4&lt;Borelog!$B$2,SPT_Data!E4,""),"")))</f>
        <v/>
      </c>
      <c r="I4" t="str">
        <f>IF(A4="","",IF(A4=Borelog!$A$3,E4,IF(A4&gt;Borelog!$A$3,IF(SPT_Data!A4&lt;Borelog!$B$3,SPT_Data!E4,""),"")))</f>
        <v/>
      </c>
      <c r="J4">
        <f>IF(A4="","",IF(A4=Borelog!$A$4,E4,IF(A4&gt;Borelog!$A$4,IF(SPT_Data!A4&lt;Borelog!$B$4,SPT_Data!E4,""),"")))</f>
        <v>1</v>
      </c>
      <c r="K4" t="str">
        <f>IF(A4="","",IF(A4=Borelog!$A$5,E4,IF(A4&gt;Borelog!$A$5,IF(SPT_Data!A4&lt;Borelog!$B$5,SPT_Data!E4,""),"")))</f>
        <v/>
      </c>
      <c r="L4" t="str">
        <f>IF(A4="","",IF(A4=Borelog!$A$6,E4,IF(A4&gt;Borelog!$A$6,IF(SPT_Data!A4&lt;Borelog!$B$6,SPT_Data!E4,""),"")))</f>
        <v/>
      </c>
      <c r="M4" t="str">
        <f>IF(A4="","",IF(A4=Borelog!$A$7,E4,IF(A4&gt;Borelog!$A$7,IF(SPT_Data!A4&lt;Borelog!$B$7,SPT_Data!E4,""),"")))</f>
        <v/>
      </c>
      <c r="N4" t="str">
        <f>IF(A4="","",IF(A4=Borelog!$A$8,E4,IF(A4&gt;Borelog!$A$8,IF(SPT_Data!A4&lt;Borelog!$B$8,SPT_Data!E4,""),"")))</f>
        <v/>
      </c>
      <c r="O4" t="str">
        <f>IF(A4="","",IF(A4=Borelog!$A$9,E4,IF(A4&gt;Borelog!$A$9,IF(SPT_Data!A4&lt;Borelog!$B$9,SPT_Data!E4,""),"")))</f>
        <v/>
      </c>
      <c r="P4" t="str">
        <f>IF(A4="","",IF(A4=Borelog!$A$10,E4,IF(A4&gt;Borelog!$A$10,IF(SPT_Data!A4&lt;Borelog!$B$10,SPT_Data!E4,""),"")))</f>
        <v/>
      </c>
      <c r="R4" s="1" t="s">
        <v>76</v>
      </c>
      <c r="S4" s="1" t="s">
        <v>77</v>
      </c>
    </row>
    <row r="5" spans="1:19" x14ac:dyDescent="0.3">
      <c r="A5">
        <v>4.5</v>
      </c>
      <c r="B5">
        <v>1</v>
      </c>
      <c r="C5">
        <v>0</v>
      </c>
      <c r="D5">
        <v>0</v>
      </c>
      <c r="E5">
        <f t="shared" si="0"/>
        <v>0</v>
      </c>
      <c r="H5" t="str">
        <f>IF(A5="","",IF(A5=Borelog!$A$2,E5,IF(A5&gt;Borelog!$A$2,IF(SPT_Data!A5&lt;Borelog!$B$2,SPT_Data!E5,""),"")))</f>
        <v/>
      </c>
      <c r="I5" t="str">
        <f>IF(A5="","",IF(A5=Borelog!$A$3,E5,IF(A5&gt;Borelog!$A$3,IF(SPT_Data!A5&lt;Borelog!$B$3,SPT_Data!E5,""),"")))</f>
        <v/>
      </c>
      <c r="J5" t="str">
        <f>IF(A5="","",IF(A5=Borelog!$A$4,E5,IF(A5&gt;Borelog!$A$4,IF(SPT_Data!A5&lt;Borelog!$B$4,SPT_Data!E5,""),"")))</f>
        <v/>
      </c>
      <c r="K5">
        <f>IF(A5="","",IF(A5=Borelog!$A$5,E5,IF(A5&gt;Borelog!$A$5,IF(SPT_Data!A5&lt;Borelog!$B$5,SPT_Data!E5,""),"")))</f>
        <v>0</v>
      </c>
      <c r="L5" t="str">
        <f>IF(A5="","",IF(A5=Borelog!$A$6,E5,IF(A5&gt;Borelog!$A$6,IF(SPT_Data!A5&lt;Borelog!$B$6,SPT_Data!E5,""),"")))</f>
        <v/>
      </c>
      <c r="M5" t="str">
        <f>IF(A5="","",IF(A5=Borelog!$A$7,E5,IF(A5&gt;Borelog!$A$7,IF(SPT_Data!A5&lt;Borelog!$B$7,SPT_Data!E5,""),"")))</f>
        <v/>
      </c>
      <c r="N5" t="str">
        <f>IF(A5="","",IF(A5=Borelog!$A$8,E5,IF(A5&gt;Borelog!$A$8,IF(SPT_Data!A5&lt;Borelog!$B$8,SPT_Data!E5,""),"")))</f>
        <v/>
      </c>
      <c r="O5" t="str">
        <f>IF(A5="","",IF(A5=Borelog!$A$9,E5,IF(A5&gt;Borelog!$A$9,IF(SPT_Data!A5&lt;Borelog!$B$9,SPT_Data!E5,""),"")))</f>
        <v/>
      </c>
      <c r="P5" t="str">
        <f>IF(A5="","",IF(A5=Borelog!$A$10,E5,IF(A5&gt;Borelog!$A$10,IF(SPT_Data!A5&lt;Borelog!$B$10,SPT_Data!E5,""),"")))</f>
        <v/>
      </c>
      <c r="R5" s="1" t="s">
        <v>78</v>
      </c>
      <c r="S5" s="1" t="s">
        <v>79</v>
      </c>
    </row>
    <row r="6" spans="1:19" x14ac:dyDescent="0.3">
      <c r="A6">
        <v>6</v>
      </c>
      <c r="B6">
        <v>1</v>
      </c>
      <c r="C6">
        <v>0</v>
      </c>
      <c r="D6">
        <v>0</v>
      </c>
      <c r="E6">
        <f t="shared" si="0"/>
        <v>0</v>
      </c>
      <c r="H6" t="str">
        <f>IF(A6="","",IF(A6=Borelog!$A$2,E6,IF(A6&gt;Borelog!$A$2,IF(SPT_Data!A6&lt;Borelog!$B$2,SPT_Data!E6,""),"")))</f>
        <v/>
      </c>
      <c r="I6" t="str">
        <f>IF(A6="","",IF(A6=Borelog!$A$3,E6,IF(A6&gt;Borelog!$A$3,IF(SPT_Data!A6&lt;Borelog!$B$3,SPT_Data!E6,""),"")))</f>
        <v/>
      </c>
      <c r="J6" t="str">
        <f>IF(A6="","",IF(A6=Borelog!$A$4,E6,IF(A6&gt;Borelog!$A$4,IF(SPT_Data!A6&lt;Borelog!$B$4,SPT_Data!E6,""),"")))</f>
        <v/>
      </c>
      <c r="K6" t="str">
        <f>IF(A6="","",IF(A6=Borelog!$A$5,E6,IF(A6&gt;Borelog!$A$5,IF(SPT_Data!A6&lt;Borelog!$B$5,SPT_Data!E6,""),"")))</f>
        <v/>
      </c>
      <c r="L6">
        <f>IF(A6="","",IF(A6=Borelog!$A$6,E6,IF(A6&gt;Borelog!$A$6,IF(SPT_Data!A6&lt;Borelog!$B$6,SPT_Data!E6,""),"")))</f>
        <v>0</v>
      </c>
      <c r="M6" t="str">
        <f>IF(A6="","",IF(A6=Borelog!$A$7,E6,IF(A6&gt;Borelog!$A$7,IF(SPT_Data!A6&lt;Borelog!$B$7,SPT_Data!E6,""),"")))</f>
        <v/>
      </c>
      <c r="N6" t="str">
        <f>IF(A6="","",IF(A6=Borelog!$A$8,E6,IF(A6&gt;Borelog!$A$8,IF(SPT_Data!A6&lt;Borelog!$B$8,SPT_Data!E6,""),"")))</f>
        <v/>
      </c>
      <c r="O6" t="str">
        <f>IF(A6="","",IF(A6=Borelog!$A$9,E6,IF(A6&gt;Borelog!$A$9,IF(SPT_Data!A6&lt;Borelog!$B$9,SPT_Data!E6,""),"")))</f>
        <v/>
      </c>
      <c r="P6" t="str">
        <f>IF(A6="","",IF(A6=Borelog!$A$10,E6,IF(A6&gt;Borelog!$A$10,IF(SPT_Data!A6&lt;Borelog!$B$10,SPT_Data!E6,""),"")))</f>
        <v/>
      </c>
      <c r="R6" s="1" t="s">
        <v>80</v>
      </c>
      <c r="S6" s="1" t="s">
        <v>81</v>
      </c>
    </row>
    <row r="7" spans="1:19" x14ac:dyDescent="0.3">
      <c r="A7">
        <v>7.5</v>
      </c>
      <c r="B7">
        <v>1</v>
      </c>
      <c r="C7">
        <v>0</v>
      </c>
      <c r="D7">
        <v>1</v>
      </c>
      <c r="E7">
        <f t="shared" si="0"/>
        <v>1</v>
      </c>
      <c r="H7" t="str">
        <f>IF(A7="","",IF(A7=Borelog!$A$2,E7,IF(A7&gt;Borelog!$A$2,IF(SPT_Data!A7&lt;Borelog!$B$2,SPT_Data!E7,""),"")))</f>
        <v/>
      </c>
      <c r="I7" t="str">
        <f>IF(A7="","",IF(A7=Borelog!$A$3,E7,IF(A7&gt;Borelog!$A$3,IF(SPT_Data!A7&lt;Borelog!$B$3,SPT_Data!E7,""),"")))</f>
        <v/>
      </c>
      <c r="J7" t="str">
        <f>IF(A7="","",IF(A7=Borelog!$A$4,E7,IF(A7&gt;Borelog!$A$4,IF(SPT_Data!A7&lt;Borelog!$B$4,SPT_Data!E7,""),"")))</f>
        <v/>
      </c>
      <c r="K7" t="str">
        <f>IF(A7="","",IF(A7=Borelog!$A$5,E7,IF(A7&gt;Borelog!$A$5,IF(SPT_Data!A7&lt;Borelog!$B$5,SPT_Data!E7,""),"")))</f>
        <v/>
      </c>
      <c r="L7" t="str">
        <f>IF(A7="","",IF(A7=Borelog!$A$6,E7,IF(A7&gt;Borelog!$A$6,IF(SPT_Data!A7&lt;Borelog!$B$6,SPT_Data!E7,""),"")))</f>
        <v/>
      </c>
      <c r="M7">
        <f>IF(A7="","",IF(A7=Borelog!$A$7,E7,IF(A7&gt;Borelog!$A$7,IF(SPT_Data!A7&lt;Borelog!$B$7,SPT_Data!E7,""),"")))</f>
        <v>1</v>
      </c>
      <c r="N7" t="str">
        <f>IF(A7="","",IF(A7=Borelog!$A$8,E7,IF(A7&gt;Borelog!$A$8,IF(SPT_Data!A7&lt;Borelog!$B$8,SPT_Data!E7,""),"")))</f>
        <v/>
      </c>
      <c r="O7" t="str">
        <f>IF(A7="","",IF(A7=Borelog!$A$9,E7,IF(A7&gt;Borelog!$A$9,IF(SPT_Data!A7&lt;Borelog!$B$9,SPT_Data!E7,""),"")))</f>
        <v/>
      </c>
      <c r="P7" t="str">
        <f>IF(A7="","",IF(A7=Borelog!$A$10,E7,IF(A7&gt;Borelog!$A$10,IF(SPT_Data!A7&lt;Borelog!$B$10,SPT_Data!E7,""),"")))</f>
        <v/>
      </c>
      <c r="R7" s="1" t="s">
        <v>82</v>
      </c>
      <c r="S7" s="1" t="s">
        <v>83</v>
      </c>
    </row>
    <row r="8" spans="1:19" x14ac:dyDescent="0.3">
      <c r="A8">
        <v>9</v>
      </c>
      <c r="B8">
        <v>1</v>
      </c>
      <c r="C8">
        <v>1</v>
      </c>
      <c r="D8">
        <v>1</v>
      </c>
      <c r="E8">
        <f t="shared" si="0"/>
        <v>2</v>
      </c>
      <c r="H8" t="str">
        <f>IF(A8="","",IF(A8=Borelog!$A$2,E8,IF(A8&gt;Borelog!$A$2,IF(SPT_Data!A8&lt;Borelog!$B$2,SPT_Data!E8,""),"")))</f>
        <v/>
      </c>
      <c r="I8" t="str">
        <f>IF(A8="","",IF(A8=Borelog!$A$3,E8,IF(A8&gt;Borelog!$A$3,IF(SPT_Data!A8&lt;Borelog!$B$3,SPT_Data!E8,""),"")))</f>
        <v/>
      </c>
      <c r="J8" t="str">
        <f>IF(A8="","",IF(A8=Borelog!$A$4,E8,IF(A8&gt;Borelog!$A$4,IF(SPT_Data!A8&lt;Borelog!$B$4,SPT_Data!E8,""),"")))</f>
        <v/>
      </c>
      <c r="K8" t="str">
        <f>IF(A8="","",IF(A8=Borelog!$A$5,E8,IF(A8&gt;Borelog!$A$5,IF(SPT_Data!A8&lt;Borelog!$B$5,SPT_Data!E8,""),"")))</f>
        <v/>
      </c>
      <c r="L8" t="str">
        <f>IF(A8="","",IF(A8=Borelog!$A$6,E8,IF(A8&gt;Borelog!$A$6,IF(SPT_Data!A8&lt;Borelog!$B$6,SPT_Data!E8,""),"")))</f>
        <v/>
      </c>
      <c r="M8">
        <f>IF(A8="","",IF(A8=Borelog!$A$7,E8,IF(A8&gt;Borelog!$A$7,IF(SPT_Data!A8&lt;Borelog!$B$7,SPT_Data!E8,""),"")))</f>
        <v>2</v>
      </c>
      <c r="N8" t="str">
        <f>IF(A8="","",IF(A8=Borelog!$A$8,E8,IF(A8&gt;Borelog!$A$8,IF(SPT_Data!A8&lt;Borelog!$B$8,SPT_Data!E8,""),"")))</f>
        <v/>
      </c>
      <c r="O8" t="str">
        <f>IF(A8="","",IF(A8=Borelog!$A$9,E8,IF(A8&gt;Borelog!$A$9,IF(SPT_Data!A8&lt;Borelog!$B$9,SPT_Data!E8,""),"")))</f>
        <v/>
      </c>
      <c r="P8" t="str">
        <f>IF(A8="","",IF(A8=Borelog!$A$10,E8,IF(A8&gt;Borelog!$A$10,IF(SPT_Data!A8&lt;Borelog!$B$10,SPT_Data!E8,""),"")))</f>
        <v/>
      </c>
    </row>
    <row r="9" spans="1:19" x14ac:dyDescent="0.3">
      <c r="A9">
        <v>10.5</v>
      </c>
      <c r="B9">
        <v>1</v>
      </c>
      <c r="C9">
        <v>1</v>
      </c>
      <c r="D9">
        <v>1</v>
      </c>
      <c r="E9">
        <f t="shared" si="0"/>
        <v>2</v>
      </c>
      <c r="H9" t="str">
        <f>IF(A9="","",IF(A9=Borelog!$A$2,E9,IF(A9&gt;Borelog!$A$2,IF(SPT_Data!A9&lt;Borelog!$B$2,SPT_Data!E9,""),"")))</f>
        <v/>
      </c>
      <c r="I9" t="str">
        <f>IF(A9="","",IF(A9=Borelog!$A$3,E9,IF(A9&gt;Borelog!$A$3,IF(SPT_Data!A9&lt;Borelog!$B$3,SPT_Data!E9,""),"")))</f>
        <v/>
      </c>
      <c r="J9" t="str">
        <f>IF(A9="","",IF(A9=Borelog!$A$4,E9,IF(A9&gt;Borelog!$A$4,IF(SPT_Data!A9&lt;Borelog!$B$4,SPT_Data!E9,""),"")))</f>
        <v/>
      </c>
      <c r="K9" t="str">
        <f>IF(A9="","",IF(A9=Borelog!$A$5,E9,IF(A9&gt;Borelog!$A$5,IF(SPT_Data!A9&lt;Borelog!$B$5,SPT_Data!E9,""),"")))</f>
        <v/>
      </c>
      <c r="L9" t="str">
        <f>IF(A9="","",IF(A9=Borelog!$A$6,E9,IF(A9&gt;Borelog!$A$6,IF(SPT_Data!A9&lt;Borelog!$B$6,SPT_Data!E9,""),"")))</f>
        <v/>
      </c>
      <c r="M9">
        <f>IF(A9="","",IF(A9=Borelog!$A$7,E9,IF(A9&gt;Borelog!$A$7,IF(SPT_Data!A9&lt;Borelog!$B$7,SPT_Data!E9,""),"")))</f>
        <v>2</v>
      </c>
      <c r="N9" t="str">
        <f>IF(A9="","",IF(A9=Borelog!$A$8,E9,IF(A9&gt;Borelog!$A$8,IF(SPT_Data!A9&lt;Borelog!$B$8,SPT_Data!E9,""),"")))</f>
        <v/>
      </c>
      <c r="O9" t="str">
        <f>IF(A9="","",IF(A9=Borelog!$A$9,E9,IF(A9&gt;Borelog!$A$9,IF(SPT_Data!A9&lt;Borelog!$B$9,SPT_Data!E9,""),"")))</f>
        <v/>
      </c>
      <c r="P9" t="str">
        <f>IF(A9="","",IF(A9=Borelog!$A$10,E9,IF(A9&gt;Borelog!$A$10,IF(SPT_Data!A9&lt;Borelog!$B$10,SPT_Data!E9,""),"")))</f>
        <v/>
      </c>
    </row>
    <row r="10" spans="1:19" x14ac:dyDescent="0.3">
      <c r="A10">
        <v>12</v>
      </c>
      <c r="B10">
        <v>1</v>
      </c>
      <c r="C10">
        <v>2</v>
      </c>
      <c r="D10">
        <v>1</v>
      </c>
      <c r="E10">
        <f t="shared" si="0"/>
        <v>3</v>
      </c>
      <c r="H10" t="str">
        <f>IF(A10="","",IF(A10=Borelog!$A$2,E10,IF(A10&gt;Borelog!$A$2,IF(SPT_Data!A10&lt;Borelog!$B$2,SPT_Data!E10,""),"")))</f>
        <v/>
      </c>
      <c r="I10" t="str">
        <f>IF(A10="","",IF(A10=Borelog!$A$3,E10,IF(A10&gt;Borelog!$A$3,IF(SPT_Data!A10&lt;Borelog!$B$3,SPT_Data!E10,""),"")))</f>
        <v/>
      </c>
      <c r="J10" t="str">
        <f>IF(A10="","",IF(A10=Borelog!$A$4,E10,IF(A10&gt;Borelog!$A$4,IF(SPT_Data!A10&lt;Borelog!$B$4,SPT_Data!E10,""),"")))</f>
        <v/>
      </c>
      <c r="K10" t="str">
        <f>IF(A10="","",IF(A10=Borelog!$A$5,E10,IF(A10&gt;Borelog!$A$5,IF(SPT_Data!A10&lt;Borelog!$B$5,SPT_Data!E10,""),"")))</f>
        <v/>
      </c>
      <c r="L10" t="str">
        <f>IF(A10="","",IF(A10=Borelog!$A$6,E10,IF(A10&gt;Borelog!$A$6,IF(SPT_Data!A10&lt;Borelog!$B$6,SPT_Data!E10,""),"")))</f>
        <v/>
      </c>
      <c r="M10" t="str">
        <f>IF(A10="","",IF(A10=Borelog!$A$7,E10,IF(A10&gt;Borelog!$A$7,IF(SPT_Data!A10&lt;Borelog!$B$7,SPT_Data!E10,""),"")))</f>
        <v/>
      </c>
      <c r="N10">
        <f>IF(A10="","",IF(A10=Borelog!$A$8,E10,IF(A10&gt;Borelog!$A$8,IF(SPT_Data!A10&lt;Borelog!$B$8,SPT_Data!E10,""),"")))</f>
        <v>3</v>
      </c>
      <c r="O10" t="str">
        <f>IF(A10="","",IF(A10=Borelog!$A$9,E10,IF(A10&gt;Borelog!$A$9,IF(SPT_Data!A10&lt;Borelog!$B$9,SPT_Data!E10,""),"")))</f>
        <v/>
      </c>
      <c r="P10" t="str">
        <f>IF(A10="","",IF(A10=Borelog!$A$10,E10,IF(A10&gt;Borelog!$A$10,IF(SPT_Data!A10&lt;Borelog!$B$10,SPT_Data!E10,""),"")))</f>
        <v/>
      </c>
    </row>
    <row r="11" spans="1:19" x14ac:dyDescent="0.3">
      <c r="A11">
        <v>13.5</v>
      </c>
      <c r="B11">
        <v>1</v>
      </c>
      <c r="C11">
        <v>1</v>
      </c>
      <c r="D11">
        <v>2</v>
      </c>
      <c r="E11">
        <f t="shared" si="0"/>
        <v>3</v>
      </c>
      <c r="H11" t="str">
        <f>IF(A11="","",IF(A11=Borelog!$A$2,E11,IF(A11&gt;Borelog!$A$2,IF(SPT_Data!A11&lt;Borelog!$B$2,SPT_Data!E11,""),"")))</f>
        <v/>
      </c>
      <c r="I11" t="str">
        <f>IF(A11="","",IF(A11=Borelog!$A$3,E11,IF(A11&gt;Borelog!$A$3,IF(SPT_Data!A11&lt;Borelog!$B$3,SPT_Data!E11,""),"")))</f>
        <v/>
      </c>
      <c r="J11" t="str">
        <f>IF(A11="","",IF(A11=Borelog!$A$4,E11,IF(A11&gt;Borelog!$A$4,IF(SPT_Data!A11&lt;Borelog!$B$4,SPT_Data!E11,""),"")))</f>
        <v/>
      </c>
      <c r="K11" t="str">
        <f>IF(A11="","",IF(A11=Borelog!$A$5,E11,IF(A11&gt;Borelog!$A$5,IF(SPT_Data!A11&lt;Borelog!$B$5,SPT_Data!E11,""),"")))</f>
        <v/>
      </c>
      <c r="L11" t="str">
        <f>IF(A11="","",IF(A11=Borelog!$A$6,E11,IF(A11&gt;Borelog!$A$6,IF(SPT_Data!A11&lt;Borelog!$B$6,SPT_Data!E11,""),"")))</f>
        <v/>
      </c>
      <c r="M11" t="str">
        <f>IF(A11="","",IF(A11=Borelog!$A$7,E11,IF(A11&gt;Borelog!$A$7,IF(SPT_Data!A11&lt;Borelog!$B$7,SPT_Data!E11,""),"")))</f>
        <v/>
      </c>
      <c r="N11">
        <f>IF(A11="","",IF(A11=Borelog!$A$8,E11,IF(A11&gt;Borelog!$A$8,IF(SPT_Data!A11&lt;Borelog!$B$8,SPT_Data!E11,""),"")))</f>
        <v>3</v>
      </c>
      <c r="O11" t="str">
        <f>IF(A11="","",IF(A11=Borelog!$A$9,E11,IF(A11&gt;Borelog!$A$9,IF(SPT_Data!A11&lt;Borelog!$B$9,SPT_Data!E11,""),"")))</f>
        <v/>
      </c>
      <c r="P11" t="str">
        <f>IF(A11="","",IF(A11=Borelog!$A$10,E11,IF(A11&gt;Borelog!$A$10,IF(SPT_Data!A11&lt;Borelog!$B$10,SPT_Data!E11,""),"")))</f>
        <v/>
      </c>
    </row>
    <row r="12" spans="1:19" x14ac:dyDescent="0.3">
      <c r="A12">
        <v>15</v>
      </c>
      <c r="B12">
        <v>1</v>
      </c>
      <c r="C12">
        <v>2</v>
      </c>
      <c r="D12">
        <v>2</v>
      </c>
      <c r="E12">
        <f t="shared" si="0"/>
        <v>4</v>
      </c>
      <c r="H12" t="str">
        <f>IF(A12="","",IF(A12=Borelog!$A$2,E12,IF(A12&gt;Borelog!$A$2,IF(SPT_Data!A12&lt;Borelog!$B$2,SPT_Data!E12,""),"")))</f>
        <v/>
      </c>
      <c r="I12" t="str">
        <f>IF(A12="","",IF(A12=Borelog!$A$3,E12,IF(A12&gt;Borelog!$A$3,IF(SPT_Data!A12&lt;Borelog!$B$3,SPT_Data!E12,""),"")))</f>
        <v/>
      </c>
      <c r="J12" t="str">
        <f>IF(A12="","",IF(A12=Borelog!$A$4,E12,IF(A12&gt;Borelog!$A$4,IF(SPT_Data!A12&lt;Borelog!$B$4,SPT_Data!E12,""),"")))</f>
        <v/>
      </c>
      <c r="K12" t="str">
        <f>IF(A12="","",IF(A12=Borelog!$A$5,E12,IF(A12&gt;Borelog!$A$5,IF(SPT_Data!A12&lt;Borelog!$B$5,SPT_Data!E12,""),"")))</f>
        <v/>
      </c>
      <c r="L12" t="str">
        <f>IF(A12="","",IF(A12=Borelog!$A$6,E12,IF(A12&gt;Borelog!$A$6,IF(SPT_Data!A12&lt;Borelog!$B$6,SPT_Data!E12,""),"")))</f>
        <v/>
      </c>
      <c r="M12" t="str">
        <f>IF(A12="","",IF(A12=Borelog!$A$7,E12,IF(A12&gt;Borelog!$A$7,IF(SPT_Data!A12&lt;Borelog!$B$7,SPT_Data!E12,""),"")))</f>
        <v/>
      </c>
      <c r="N12" t="str">
        <f>IF(A12="","",IF(A12=Borelog!$A$8,E12,IF(A12&gt;Borelog!$A$8,IF(SPT_Data!A12&lt;Borelog!$B$8,SPT_Data!E12,""),"")))</f>
        <v/>
      </c>
      <c r="O12">
        <f>IF(A12="","",IF(A12=Borelog!$A$9,E12,IF(A12&gt;Borelog!$A$9,IF(SPT_Data!A12&lt;Borelog!$B$9,SPT_Data!E12,""),"")))</f>
        <v>4</v>
      </c>
      <c r="P12" t="str">
        <f>IF(A12="","",IF(A12=Borelog!$A$10,E12,IF(A12&gt;Borelog!$A$10,IF(SPT_Data!A12&lt;Borelog!$B$10,SPT_Data!E12,""),"")))</f>
        <v/>
      </c>
    </row>
    <row r="13" spans="1:19" x14ac:dyDescent="0.3">
      <c r="A13" s="5">
        <v>18</v>
      </c>
      <c r="B13">
        <v>8</v>
      </c>
      <c r="C13">
        <v>6</v>
      </c>
      <c r="D13">
        <v>6</v>
      </c>
      <c r="E13">
        <f t="shared" si="0"/>
        <v>12</v>
      </c>
      <c r="H13" t="str">
        <f>IF(A13="","",IF(A13=Borelog!$A$2,E13,IF(A13&gt;Borelog!$A$2,IF(SPT_Data!A13&lt;Borelog!$B$2,SPT_Data!E13,""),"")))</f>
        <v/>
      </c>
      <c r="I13" t="str">
        <f>IF(A13="","",IF(A13=Borelog!$A$3,E13,IF(A13&gt;Borelog!$A$3,IF(SPT_Data!A13&lt;Borelog!$B$3,SPT_Data!E13,""),"")))</f>
        <v/>
      </c>
      <c r="J13" t="str">
        <f>IF(A13="","",IF(A13=Borelog!$A$4,E13,IF(A13&gt;Borelog!$A$4,IF(SPT_Data!A13&lt;Borelog!$B$4,SPT_Data!E13,""),"")))</f>
        <v/>
      </c>
      <c r="K13" t="str">
        <f>IF(A13="","",IF(A13=Borelog!$A$5,E13,IF(A13&gt;Borelog!$A$5,IF(SPT_Data!A13&lt;Borelog!$B$5,SPT_Data!E13,""),"")))</f>
        <v/>
      </c>
      <c r="L13" t="str">
        <f>IF(A13="","",IF(A13=Borelog!$A$6,E13,IF(A13&gt;Borelog!$A$6,IF(SPT_Data!A13&lt;Borelog!$B$6,SPT_Data!E13,""),"")))</f>
        <v/>
      </c>
      <c r="M13" t="str">
        <f>IF(A13="","",IF(A13=Borelog!$A$7,E13,IF(A13&gt;Borelog!$A$7,IF(SPT_Data!A13&lt;Borelog!$B$7,SPT_Data!E13,""),"")))</f>
        <v/>
      </c>
      <c r="N13" t="str">
        <f>IF(A13="","",IF(A13=Borelog!$A$8,E13,IF(A13&gt;Borelog!$A$8,IF(SPT_Data!A13&lt;Borelog!$B$8,SPT_Data!E13,""),"")))</f>
        <v/>
      </c>
      <c r="O13" t="str">
        <f>IF(A13="","",IF(A13=Borelog!$A$9,E13,IF(A13&gt;Borelog!$A$9,IF(SPT_Data!A13&lt;Borelog!$B$9,SPT_Data!E13,""),"")))</f>
        <v/>
      </c>
      <c r="P13">
        <f>IF(A13="","",IF(A13=Borelog!$A$10,E13,IF(A13&gt;Borelog!$A$10,IF(SPT_Data!A13&lt;Borelog!$B$10,SPT_Data!E13,""),"")))</f>
        <v>12</v>
      </c>
    </row>
    <row r="14" spans="1:19" x14ac:dyDescent="0.3">
      <c r="A14">
        <v>20</v>
      </c>
      <c r="B14">
        <v>13</v>
      </c>
      <c r="C14">
        <v>24</v>
      </c>
      <c r="D14">
        <v>26</v>
      </c>
      <c r="E14">
        <f t="shared" si="0"/>
        <v>50</v>
      </c>
      <c r="H14" t="str">
        <f>IF(A14="","",IF(A14=Borelog!$A$2,E14,IF(A14&gt;Borelog!$A$2,IF(SPT_Data!A14&lt;Borelog!$B$2,SPT_Data!E14,""),"")))</f>
        <v/>
      </c>
      <c r="I14" t="str">
        <f>IF(A14="","",IF(A14=Borelog!$A$3,E14,IF(A14&gt;Borelog!$A$3,IF(SPT_Data!A14&lt;Borelog!$B$3,SPT_Data!E14,""),"")))</f>
        <v/>
      </c>
      <c r="J14" t="str">
        <f>IF(A14="","",IF(A14=Borelog!$A$4,E14,IF(A14&gt;Borelog!$A$4,IF(SPT_Data!A14&lt;Borelog!$B$4,SPT_Data!E14,""),"")))</f>
        <v/>
      </c>
      <c r="K14" t="str">
        <f>IF(A14="","",IF(A14=Borelog!$A$5,E14,IF(A14&gt;Borelog!$A$5,IF(SPT_Data!A14&lt;Borelog!$B$5,SPT_Data!E14,""),"")))</f>
        <v/>
      </c>
      <c r="L14" t="str">
        <f>IF(A14="","",IF(A14=Borelog!$A$6,E14,IF(A14&gt;Borelog!$A$6,IF(SPT_Data!A14&lt;Borelog!$B$6,SPT_Data!E14,""),"")))</f>
        <v/>
      </c>
      <c r="M14" t="str">
        <f>IF(A14="","",IF(A14=Borelog!$A$7,E14,IF(A14&gt;Borelog!$A$7,IF(SPT_Data!A14&lt;Borelog!$B$7,SPT_Data!E14,""),"")))</f>
        <v/>
      </c>
      <c r="N14" t="str">
        <f>IF(A14="","",IF(A14=Borelog!$A$8,E14,IF(A14&gt;Borelog!$A$8,IF(SPT_Data!A14&lt;Borelog!$B$8,SPT_Data!E14,""),"")))</f>
        <v/>
      </c>
      <c r="O14" t="str">
        <f>IF(A14="","",IF(A14=Borelog!$A$9,E14,IF(A14&gt;Borelog!$A$9,IF(SPT_Data!A14&lt;Borelog!$B$9,SPT_Data!E14,""),"")))</f>
        <v/>
      </c>
      <c r="P14" t="str">
        <f>IF(A14="","",IF(A14=Borelog!$A$10,E14,IF(A14&gt;Borelog!$A$10,IF(SPT_Data!A14&lt;Borelog!$B$10,SPT_Data!E14,""),"")))</f>
        <v/>
      </c>
    </row>
    <row r="15" spans="1:19" x14ac:dyDescent="0.3">
      <c r="A15">
        <v>23</v>
      </c>
      <c r="B15">
        <v>12</v>
      </c>
      <c r="C15">
        <v>19</v>
      </c>
      <c r="D15">
        <v>26</v>
      </c>
      <c r="E15">
        <f t="shared" si="0"/>
        <v>45</v>
      </c>
      <c r="H15" t="str">
        <f>IF(A15="","",IF(A15=Borelog!$A$2,E15,IF(A15&gt;Borelog!$A$2,IF(SPT_Data!A15&lt;Borelog!$B$2,SPT_Data!E15,""),"")))</f>
        <v/>
      </c>
      <c r="I15" t="str">
        <f>IF(A15="","",IF(A15=Borelog!$A$3,E15,IF(A15&gt;Borelog!$A$3,IF(SPT_Data!A15&lt;Borelog!$B$3,SPT_Data!E15,""),"")))</f>
        <v/>
      </c>
      <c r="J15" t="str">
        <f>IF(A15="","",IF(A15=Borelog!$A$4,E15,IF(A15&gt;Borelog!$A$4,IF(SPT_Data!A15&lt;Borelog!$B$4,SPT_Data!E15,""),"")))</f>
        <v/>
      </c>
      <c r="K15" t="str">
        <f>IF(A15="","",IF(A15=Borelog!$A$5,E15,IF(A15&gt;Borelog!$A$5,IF(SPT_Data!A15&lt;Borelog!$B$5,SPT_Data!E15,""),"")))</f>
        <v/>
      </c>
      <c r="L15" t="str">
        <f>IF(A15="","",IF(A15=Borelog!$A$6,E15,IF(A15&gt;Borelog!$A$6,IF(SPT_Data!A15&lt;Borelog!$B$6,SPT_Data!E15,""),"")))</f>
        <v/>
      </c>
      <c r="M15" t="str">
        <f>IF(A15="","",IF(A15=Borelog!$A$7,E15,IF(A15&gt;Borelog!$A$7,IF(SPT_Data!A15&lt;Borelog!$B$7,SPT_Data!E15,""),"")))</f>
        <v/>
      </c>
      <c r="N15" t="str">
        <f>IF(A15="","",IF(A15=Borelog!$A$8,E15,IF(A15&gt;Borelog!$A$8,IF(SPT_Data!A15&lt;Borelog!$B$8,SPT_Data!E15,""),"")))</f>
        <v/>
      </c>
      <c r="O15" t="str">
        <f>IF(A15="","",IF(A15=Borelog!$A$9,E15,IF(A15&gt;Borelog!$A$9,IF(SPT_Data!A15&lt;Borelog!$B$9,SPT_Data!E15,""),"")))</f>
        <v/>
      </c>
      <c r="P15" t="str">
        <f>IF(A15="","",IF(A15=Borelog!$A$10,E15,IF(A15&gt;Borelog!$A$10,IF(SPT_Data!A15&lt;Borelog!$B$10,SPT_Data!E15,""),"")))</f>
        <v/>
      </c>
    </row>
    <row r="16" spans="1:19" x14ac:dyDescent="0.3">
      <c r="H16" t="str">
        <f>IF(A16="","",IF(A16=Borelog!$A$2,E16,IF(A16&gt;Borelog!$A$2,IF(SPT_Data!A16&lt;Borelog!$B$2,SPT_Data!E16,""),"")))</f>
        <v/>
      </c>
      <c r="I16" t="str">
        <f>IF(A16="","",IF(A16=Borelog!$A$3,E16,IF(A16&gt;Borelog!$A$3,IF(SPT_Data!A16&lt;Borelog!$B$3,SPT_Data!E16,""),"")))</f>
        <v/>
      </c>
      <c r="J16" t="str">
        <f>IF(A16="","",IF(A16=Borelog!$A$4,E16,IF(A16&gt;Borelog!$A$4,IF(SPT_Data!A16&lt;Borelog!$B$4,SPT_Data!E16,""),"")))</f>
        <v/>
      </c>
      <c r="K16" t="str">
        <f>IF(A16="","",IF(A16=Borelog!$A$5,E16,IF(A16&gt;Borelog!$A$5,IF(SPT_Data!A16&lt;Borelog!$B$5,SPT_Data!E16,""),"")))</f>
        <v/>
      </c>
      <c r="L16" t="str">
        <f>IF(A16="","",IF(A16=Borelog!$A$6,E16,IF(A16&gt;Borelog!$A$6,IF(SPT_Data!A16&lt;Borelog!$B$6,SPT_Data!E16,""),"")))</f>
        <v/>
      </c>
      <c r="M16" t="str">
        <f>IF(A16="","",IF(A16=Borelog!$A$7,E16,IF(A16&gt;Borelog!$A$7,IF(SPT_Data!A16&lt;Borelog!$B$7,SPT_Data!E16,""),"")))</f>
        <v/>
      </c>
      <c r="N16" t="str">
        <f>IF(A16="","",IF(A16=Borelog!$A$8,E16,IF(A16&gt;Borelog!$A$8,IF(SPT_Data!A16&lt;Borelog!$B$8,SPT_Data!E16,""),"")))</f>
        <v/>
      </c>
      <c r="O16" t="str">
        <f>IF(A16="","",IF(A16=Borelog!$A$9,E16,IF(A16&gt;Borelog!$A$9,IF(SPT_Data!A16&lt;Borelog!$B$9,SPT_Data!E16,""),"")))</f>
        <v/>
      </c>
      <c r="P16" t="str">
        <f>IF(A16="","",IF(A16=Borelog!$A$10,E16,IF(A16&gt;Borelog!$A$10,IF(SPT_Data!A16&lt;Borelog!$B$10,SPT_Data!E16,""),"")))</f>
        <v/>
      </c>
    </row>
    <row r="17" spans="8:16" x14ac:dyDescent="0.3">
      <c r="H17" t="str">
        <f>IF(A17="","",IF(A17=Borelog!$A$2,E17,IF(A17&gt;Borelog!$A$2,IF(SPT_Data!A17&lt;Borelog!$B$2,SPT_Data!E17,""),"")))</f>
        <v/>
      </c>
      <c r="I17" t="str">
        <f>IF(A17="","",IF(A17=Borelog!$A$3,E17,IF(A17&gt;Borelog!$A$3,IF(SPT_Data!A17&lt;Borelog!$B$3,SPT_Data!E17,""),"")))</f>
        <v/>
      </c>
      <c r="J17" t="str">
        <f>IF(A17="","",IF(A17=Borelog!$A$4,E17,IF(A17&gt;Borelog!$A$4,IF(SPT_Data!A17&lt;Borelog!$B$4,SPT_Data!E17,""),"")))</f>
        <v/>
      </c>
      <c r="K17" t="str">
        <f>IF(A17="","",IF(A17=Borelog!$A$5,E17,IF(A17&gt;Borelog!$A$5,IF(SPT_Data!A17&lt;Borelog!$B$5,SPT_Data!E17,""),"")))</f>
        <v/>
      </c>
      <c r="L17" t="str">
        <f>IF(A17="","",IF(A17=Borelog!$A$6,E17,IF(A17&gt;Borelog!$A$6,IF(SPT_Data!A17&lt;Borelog!$B$6,SPT_Data!E17,""),"")))</f>
        <v/>
      </c>
      <c r="M17" t="str">
        <f>IF(A17="","",IF(A17=Borelog!$A$7,E17,IF(A17&gt;Borelog!$A$7,IF(SPT_Data!A17&lt;Borelog!$B$7,SPT_Data!E17,""),"")))</f>
        <v/>
      </c>
      <c r="N17" t="str">
        <f>IF(A17="","",IF(A17=Borelog!$A$8,E17,IF(A17&gt;Borelog!$A$8,IF(SPT_Data!A17&lt;Borelog!$B$8,SPT_Data!E17,""),"")))</f>
        <v/>
      </c>
      <c r="O17" t="str">
        <f>IF(A17="","",IF(A17=Borelog!$A$9,E17,IF(A17&gt;Borelog!$A$9,IF(SPT_Data!A17&lt;Borelog!$B$9,SPT_Data!E17,""),"")))</f>
        <v/>
      </c>
      <c r="P17" t="str">
        <f>IF(A17="","",IF(A17=Borelog!$A$10,E17,IF(A17&gt;Borelog!$A$10,IF(SPT_Data!A17&lt;Borelog!$B$10,SPT_Data!E17,""),"")))</f>
        <v/>
      </c>
    </row>
    <row r="18" spans="8:16" x14ac:dyDescent="0.3">
      <c r="H18" t="str">
        <f>IF(A18="","",IF(A18=Borelog!$A$2,E18,IF(A18&gt;Borelog!$A$2,IF(SPT_Data!A18&lt;Borelog!$B$2,SPT_Data!E18,""),"")))</f>
        <v/>
      </c>
      <c r="I18" t="str">
        <f>IF(A18="","",IF(A18=Borelog!$A$3,E18,IF(A18&gt;Borelog!$A$3,IF(SPT_Data!A18&lt;Borelog!$B$3,SPT_Data!E18,""),"")))</f>
        <v/>
      </c>
      <c r="J18" t="str">
        <f>IF(A18="","",IF(A18=Borelog!$A$4,E18,IF(A18&gt;Borelog!$A$4,IF(SPT_Data!A18&lt;Borelog!$B$4,SPT_Data!E18,""),"")))</f>
        <v/>
      </c>
      <c r="K18" t="str">
        <f>IF(A18="","",IF(A18=Borelog!$A$5,E18,IF(A18&gt;Borelog!$A$5,IF(SPT_Data!A18&lt;Borelog!$B$5,SPT_Data!E18,""),"")))</f>
        <v/>
      </c>
      <c r="L18" t="str">
        <f>IF(A18="","",IF(A18=Borelog!$A$6,E18,IF(A18&gt;Borelog!$A$6,IF(SPT_Data!A18&lt;Borelog!$B$6,SPT_Data!E18,""),"")))</f>
        <v/>
      </c>
      <c r="M18" t="str">
        <f>IF(A18="","",IF(A18=Borelog!$A$7,E18,IF(A18&gt;Borelog!$A$7,IF(SPT_Data!A18&lt;Borelog!$B$7,SPT_Data!E18,""),"")))</f>
        <v/>
      </c>
      <c r="N18" t="str">
        <f>IF(A18="","",IF(A18=Borelog!$A$8,E18,IF(A18&gt;Borelog!$A$8,IF(SPT_Data!A18&lt;Borelog!$B$8,SPT_Data!E18,""),"")))</f>
        <v/>
      </c>
      <c r="O18" t="str">
        <f>IF(A18="","",IF(A18=Borelog!$A$9,E18,IF(A18&gt;Borelog!$A$9,IF(SPT_Data!A18&lt;Borelog!$B$9,SPT_Data!E18,""),"")))</f>
        <v/>
      </c>
      <c r="P18" t="str">
        <f>IF(A18="","",IF(A18=Borelog!$A$10,E18,IF(A18&gt;Borelog!$A$10,IF(SPT_Data!A18&lt;Borelog!$B$10,SPT_Data!E18,""),"")))</f>
        <v/>
      </c>
    </row>
    <row r="19" spans="8:16" x14ac:dyDescent="0.3">
      <c r="H19" t="str">
        <f>IF(A19="","",IF(A19=Borelog!$A$2,E19,IF(A19&gt;Borelog!$A$2,IF(SPT_Data!A19&lt;Borelog!$B$2,SPT_Data!E19,""),"")))</f>
        <v/>
      </c>
      <c r="I19" t="str">
        <f>IF(A19="","",IF(A19=Borelog!$A$3,E19,IF(A19&gt;Borelog!$A$3,IF(SPT_Data!A19&lt;Borelog!$B$3,SPT_Data!E19,""),"")))</f>
        <v/>
      </c>
      <c r="J19" t="str">
        <f>IF(A19="","",IF(A19=Borelog!$A$4,E19,IF(A19&gt;Borelog!$A$4,IF(SPT_Data!A19&lt;Borelog!$B$4,SPT_Data!E19,""),"")))</f>
        <v/>
      </c>
      <c r="K19" t="str">
        <f>IF(A19="","",IF(A19=Borelog!$A$5,E19,IF(A19&gt;Borelog!$A$5,IF(SPT_Data!A19&lt;Borelog!$B$5,SPT_Data!E19,""),"")))</f>
        <v/>
      </c>
      <c r="L19" t="str">
        <f>IF(A19="","",IF(A19=Borelog!$A$6,E19,IF(A19&gt;Borelog!$A$6,IF(SPT_Data!A19&lt;Borelog!$B$6,SPT_Data!E19,""),"")))</f>
        <v/>
      </c>
      <c r="M19" t="str">
        <f>IF(A19="","",IF(A19=Borelog!$A$7,E19,IF(A19&gt;Borelog!$A$7,IF(SPT_Data!A19&lt;Borelog!$B$7,SPT_Data!E19,""),"")))</f>
        <v/>
      </c>
      <c r="N19" t="str">
        <f>IF(A19="","",IF(A19=Borelog!$A$8,E19,IF(A19&gt;Borelog!$A$8,IF(SPT_Data!A19&lt;Borelog!$B$8,SPT_Data!E19,""),"")))</f>
        <v/>
      </c>
      <c r="O19" t="str">
        <f>IF(A19="","",IF(A19=Borelog!$A$9,E19,IF(A19&gt;Borelog!$A$9,IF(SPT_Data!A19&lt;Borelog!$B$9,SPT_Data!E19,""),"")))</f>
        <v/>
      </c>
      <c r="P19" t="str">
        <f>IF(A19="","",IF(A19=Borelog!$A$10,E19,IF(A19&gt;Borelog!$A$10,IF(SPT_Data!A19&lt;Borelog!$B$10,SPT_Data!E19,""),"")))</f>
        <v/>
      </c>
    </row>
    <row r="20" spans="8:16" x14ac:dyDescent="0.3">
      <c r="H20" t="str">
        <f>IF(A20="","",IF(A20=Borelog!$A$2,E20,IF(A20&gt;Borelog!$A$2,IF(SPT_Data!A20&lt;Borelog!$B$2,SPT_Data!E20,""),"")))</f>
        <v/>
      </c>
      <c r="I20" t="str">
        <f>IF(A20="","",IF(A20=Borelog!$A$3,E20,IF(A20&gt;Borelog!$A$3,IF(SPT_Data!A20&lt;Borelog!$B$3,SPT_Data!E20,""),"")))</f>
        <v/>
      </c>
      <c r="J20" t="str">
        <f>IF(A20="","",IF(A20=Borelog!$A$4,E20,IF(A20&gt;Borelog!$A$4,IF(SPT_Data!A20&lt;Borelog!$B$4,SPT_Data!E20,""),"")))</f>
        <v/>
      </c>
      <c r="K20" t="str">
        <f>IF(A20="","",IF(A20=Borelog!$A$5,E20,IF(A20&gt;Borelog!$A$5,IF(SPT_Data!A20&lt;Borelog!$B$5,SPT_Data!E20,""),"")))</f>
        <v/>
      </c>
      <c r="L20" t="str">
        <f>IF(A20="","",IF(A20=Borelog!$A$6,E20,IF(A20&gt;Borelog!$A$6,IF(SPT_Data!A20&lt;Borelog!$B$6,SPT_Data!E20,""),"")))</f>
        <v/>
      </c>
      <c r="M20" t="str">
        <f>IF(A20="","",IF(A20=Borelog!$A$7,E20,IF(A20&gt;Borelog!$A$7,IF(SPT_Data!A20&lt;Borelog!$B$7,SPT_Data!E20,""),"")))</f>
        <v/>
      </c>
      <c r="N20" t="str">
        <f>IF(A20="","",IF(A20=Borelog!$A$8,E20,IF(A20&gt;Borelog!$A$8,IF(SPT_Data!A20&lt;Borelog!$B$8,SPT_Data!E20,""),"")))</f>
        <v/>
      </c>
      <c r="O20" t="str">
        <f>IF(A20="","",IF(A20=Borelog!$A$9,E20,IF(A20&gt;Borelog!$A$9,IF(SPT_Data!A20&lt;Borelog!$B$9,SPT_Data!E20,""),"")))</f>
        <v/>
      </c>
      <c r="P20" t="str">
        <f>IF(A20="","",IF(A20=Borelog!$A$10,E20,IF(A20&gt;Borelog!$A$10,IF(SPT_Data!A20&lt;Borelog!$B$10,SPT_Data!E20,""),"")))</f>
        <v/>
      </c>
    </row>
    <row r="21" spans="8:16" x14ac:dyDescent="0.3">
      <c r="H21" t="str">
        <f>IF(A21="","",IF(A21=Borelog!$A$2,E21,IF(A21&gt;Borelog!$A$2,IF(SPT_Data!A21&lt;Borelog!$B$2,SPT_Data!E21,""),"")))</f>
        <v/>
      </c>
      <c r="I21" t="str">
        <f>IF(A21="","",IF(A21=Borelog!$A$3,E21,IF(A21&gt;Borelog!$A$3,IF(SPT_Data!A21&lt;Borelog!$B$3,SPT_Data!E21,""),"")))</f>
        <v/>
      </c>
      <c r="J21" t="str">
        <f>IF(A21="","",IF(A21=Borelog!$A$4,E21,IF(A21&gt;Borelog!$A$4,IF(SPT_Data!A21&lt;Borelog!$B$4,SPT_Data!E21,""),"")))</f>
        <v/>
      </c>
      <c r="K21" t="str">
        <f>IF(A21="","",IF(A21=Borelog!$A$5,E21,IF(A21&gt;Borelog!$A$5,IF(SPT_Data!A21&lt;Borelog!$B$5,SPT_Data!E21,""),"")))</f>
        <v/>
      </c>
      <c r="L21" t="str">
        <f>IF(A21="","",IF(A21=Borelog!$A$6,E21,IF(A21&gt;Borelog!$A$6,IF(SPT_Data!A21&lt;Borelog!$B$6,SPT_Data!E21,""),"")))</f>
        <v/>
      </c>
      <c r="M21" t="str">
        <f>IF(A21="","",IF(A21=Borelog!$A$7,E21,IF(A21&gt;Borelog!$A$7,IF(SPT_Data!A21&lt;Borelog!$B$7,SPT_Data!E21,""),"")))</f>
        <v/>
      </c>
      <c r="N21" t="str">
        <f>IF(A21="","",IF(A21=Borelog!$A$8,E21,IF(A21&gt;Borelog!$A$8,IF(SPT_Data!A21&lt;Borelog!$B$8,SPT_Data!E21,""),"")))</f>
        <v/>
      </c>
      <c r="O21" t="str">
        <f>IF(A21="","",IF(A21=Borelog!$A$9,E21,IF(A21&gt;Borelog!$A$9,IF(SPT_Data!A21&lt;Borelog!$B$9,SPT_Data!E21,""),"")))</f>
        <v/>
      </c>
      <c r="P21" t="str">
        <f>IF(A21="","",IF(A21=Borelog!$A$10,E21,IF(A21&gt;Borelog!$A$10,IF(SPT_Data!A21&lt;Borelog!$B$10,SPT_Data!E21,""),"")))</f>
        <v/>
      </c>
    </row>
    <row r="22" spans="8:16" x14ac:dyDescent="0.3">
      <c r="H22" t="str">
        <f>IF(A22="","",IF(A22=Borelog!$A$2,E22,IF(A22&gt;Borelog!$A$2,IF(SPT_Data!A22&lt;Borelog!$B$2,SPT_Data!E22,""),"")))</f>
        <v/>
      </c>
      <c r="I22" t="str">
        <f>IF(A22="","",IF(A22=Borelog!$A$3,E22,IF(A22&gt;Borelog!$A$3,IF(SPT_Data!A22&lt;Borelog!$B$3,SPT_Data!E22,""),"")))</f>
        <v/>
      </c>
      <c r="J22" t="str">
        <f>IF(A22="","",IF(A22=Borelog!$A$4,E22,IF(A22&gt;Borelog!$A$4,IF(SPT_Data!A22&lt;Borelog!$B$4,SPT_Data!E22,""),"")))</f>
        <v/>
      </c>
      <c r="K22" t="str">
        <f>IF(A22="","",IF(A22=Borelog!$A$5,E22,IF(A22&gt;Borelog!$A$5,IF(SPT_Data!A22&lt;Borelog!$B$5,SPT_Data!E22,""),"")))</f>
        <v/>
      </c>
      <c r="L22" t="str">
        <f>IF(A22="","",IF(A22=Borelog!$A$6,E22,IF(A22&gt;Borelog!$A$6,IF(SPT_Data!A22&lt;Borelog!$B$6,SPT_Data!E22,""),"")))</f>
        <v/>
      </c>
      <c r="M22" t="str">
        <f>IF(A22="","",IF(A22=Borelog!$A$7,E22,IF(A22&gt;Borelog!$A$7,IF(SPT_Data!A22&lt;Borelog!$B$7,SPT_Data!E22,""),"")))</f>
        <v/>
      </c>
      <c r="N22" t="str">
        <f>IF(A22="","",IF(A22=Borelog!$A$8,E22,IF(A22&gt;Borelog!$A$8,IF(SPT_Data!A22&lt;Borelog!$B$8,SPT_Data!E22,""),"")))</f>
        <v/>
      </c>
      <c r="O22" t="str">
        <f>IF(A22="","",IF(A22=Borelog!$A$9,E22,IF(A22&gt;Borelog!$A$9,IF(SPT_Data!A22&lt;Borelog!$B$9,SPT_Data!E22,""),"")))</f>
        <v/>
      </c>
      <c r="P22" t="str">
        <f>IF(A22="","",IF(A22=Borelog!$A$10,E22,IF(A22&gt;Borelog!$A$10,IF(SPT_Data!A22&lt;Borelog!$B$10,SPT_Data!E22,""),"")))</f>
        <v/>
      </c>
    </row>
    <row r="23" spans="8:16" x14ac:dyDescent="0.3">
      <c r="H23" t="str">
        <f>IF(A23="","",IF(A23=Borelog!$A$2,E23,IF(A23&gt;Borelog!$A$2,IF(SPT_Data!A23&lt;Borelog!$B$2,SPT_Data!E23,""),"")))</f>
        <v/>
      </c>
      <c r="I23" t="str">
        <f>IF(A23="","",IF(A23=Borelog!$A$3,E23,IF(A23&gt;Borelog!$A$3,IF(SPT_Data!A23&lt;Borelog!$B$3,SPT_Data!E23,""),"")))</f>
        <v/>
      </c>
      <c r="J23" t="str">
        <f>IF(A23="","",IF(A23=Borelog!$A$4,E23,IF(A23&gt;Borelog!$A$4,IF(SPT_Data!A23&lt;Borelog!$B$4,SPT_Data!E23,""),"")))</f>
        <v/>
      </c>
      <c r="K23" t="str">
        <f>IF(A23="","",IF(A23=Borelog!$A$5,E23,IF(A23&gt;Borelog!$A$5,IF(SPT_Data!A23&lt;Borelog!$B$5,SPT_Data!E23,""),"")))</f>
        <v/>
      </c>
      <c r="L23" t="str">
        <f>IF(A23="","",IF(A23=Borelog!$A$6,E23,IF(A23&gt;Borelog!$A$6,IF(SPT_Data!A23&lt;Borelog!$B$6,SPT_Data!E23,""),"")))</f>
        <v/>
      </c>
      <c r="M23" t="str">
        <f>IF(A23="","",IF(A23=Borelog!$A$7,E23,IF(A23&gt;Borelog!$A$7,IF(SPT_Data!A23&lt;Borelog!$B$7,SPT_Data!E23,""),"")))</f>
        <v/>
      </c>
      <c r="N23" t="str">
        <f>IF(A23="","",IF(A23=Borelog!$A$8,E23,IF(A23&gt;Borelog!$A$8,IF(SPT_Data!A23&lt;Borelog!$B$8,SPT_Data!E23,""),"")))</f>
        <v/>
      </c>
      <c r="O23" t="str">
        <f>IF(A23="","",IF(A23=Borelog!$A$9,E23,IF(A23&gt;Borelog!$A$9,IF(SPT_Data!A23&lt;Borelog!$B$9,SPT_Data!E23,""),"")))</f>
        <v/>
      </c>
      <c r="P23" t="str">
        <f>IF(A23="","",IF(A23=Borelog!$A$10,E23,IF(A23&gt;Borelog!$A$10,IF(SPT_Data!A23&lt;Borelog!$B$10,SPT_Data!E23,""),"")))</f>
        <v/>
      </c>
    </row>
    <row r="24" spans="8:16" x14ac:dyDescent="0.3">
      <c r="H24" t="str">
        <f>IF(A24="","",IF(A24=Borelog!$A$2,E24,IF(A24&gt;Borelog!$A$2,IF(SPT_Data!A24&lt;Borelog!$B$2,SPT_Data!E24,""),"")))</f>
        <v/>
      </c>
      <c r="I24" t="str">
        <f>IF(A24="","",IF(A24=Borelog!$A$3,E24,IF(A24&gt;Borelog!$A$3,IF(SPT_Data!A24&lt;Borelog!$B$3,SPT_Data!E24,""),"")))</f>
        <v/>
      </c>
      <c r="J24" t="str">
        <f>IF(A24="","",IF(A24=Borelog!$A$4,E24,IF(A24&gt;Borelog!$A$4,IF(SPT_Data!A24&lt;Borelog!$B$4,SPT_Data!E24,""),"")))</f>
        <v/>
      </c>
      <c r="K24" t="str">
        <f>IF(A24="","",IF(A24=Borelog!$A$5,E24,IF(A24&gt;Borelog!$A$5,IF(SPT_Data!A24&lt;Borelog!$B$5,SPT_Data!E24,""),"")))</f>
        <v/>
      </c>
      <c r="L24" t="str">
        <f>IF(A24="","",IF(A24=Borelog!$A$6,E24,IF(A24&gt;Borelog!$A$6,IF(SPT_Data!A24&lt;Borelog!$B$6,SPT_Data!E24,""),"")))</f>
        <v/>
      </c>
      <c r="M24" t="str">
        <f>IF(A24="","",IF(A24=Borelog!$A$7,E24,IF(A24&gt;Borelog!$A$7,IF(SPT_Data!A24&lt;Borelog!$B$7,SPT_Data!E24,""),"")))</f>
        <v/>
      </c>
      <c r="N24" t="str">
        <f>IF(A24="","",IF(A24=Borelog!$A$8,E24,IF(A24&gt;Borelog!$A$8,IF(SPT_Data!A24&lt;Borelog!$B$8,SPT_Data!E24,""),"")))</f>
        <v/>
      </c>
      <c r="O24" t="str">
        <f>IF(A24="","",IF(A24=Borelog!$A$9,E24,IF(A24&gt;Borelog!$A$9,IF(SPT_Data!A24&lt;Borelog!$B$9,SPT_Data!E24,""),"")))</f>
        <v/>
      </c>
      <c r="P24" t="str">
        <f>IF(A24="","",IF(A24=Borelog!$A$10,E24,IF(A24&gt;Borelog!$A$10,IF(SPT_Data!A24&lt;Borelog!$B$10,SPT_Data!E24,""),"")))</f>
        <v/>
      </c>
    </row>
    <row r="25" spans="8:16" x14ac:dyDescent="0.3">
      <c r="H25" t="str">
        <f>IF(A25="","",IF(A25=Borelog!$A$2,E25,IF(A25&gt;Borelog!$A$2,IF(SPT_Data!A25&lt;Borelog!$B$2,SPT_Data!E25,""),"")))</f>
        <v/>
      </c>
      <c r="I25" t="str">
        <f>IF(A25="","",IF(A25=Borelog!$A$3,E25,IF(A25&gt;Borelog!$A$3,IF(SPT_Data!A25&lt;Borelog!$B$3,SPT_Data!E25,""),"")))</f>
        <v/>
      </c>
      <c r="J25" t="str">
        <f>IF(A25="","",IF(A25=Borelog!$A$4,E25,IF(A25&gt;Borelog!$A$4,IF(SPT_Data!A25&lt;Borelog!$B$4,SPT_Data!E25,""),"")))</f>
        <v/>
      </c>
      <c r="K25" t="str">
        <f>IF(A25="","",IF(A25=Borelog!$A$5,E25,IF(A25&gt;Borelog!$A$5,IF(SPT_Data!A25&lt;Borelog!$B$5,SPT_Data!E25,""),"")))</f>
        <v/>
      </c>
      <c r="L25" t="str">
        <f>IF(A25="","",IF(A25=Borelog!$A$6,E25,IF(A25&gt;Borelog!$A$6,IF(SPT_Data!A25&lt;Borelog!$B$6,SPT_Data!E25,""),"")))</f>
        <v/>
      </c>
      <c r="M25" t="str">
        <f>IF(A25="","",IF(A25=Borelog!$A$7,E25,IF(A25&gt;Borelog!$A$7,IF(SPT_Data!A25&lt;Borelog!$B$7,SPT_Data!E25,""),"")))</f>
        <v/>
      </c>
      <c r="N25" t="str">
        <f>IF(A25="","",IF(A25=Borelog!$A$8,E25,IF(A25&gt;Borelog!$A$8,IF(SPT_Data!A25&lt;Borelog!$B$8,SPT_Data!E25,""),"")))</f>
        <v/>
      </c>
      <c r="O25" t="str">
        <f>IF(A25="","",IF(A25=Borelog!$A$9,E25,IF(A25&gt;Borelog!$A$9,IF(SPT_Data!A25&lt;Borelog!$B$9,SPT_Data!E25,""),"")))</f>
        <v/>
      </c>
      <c r="P25" t="str">
        <f>IF(A25="","",IF(A25=Borelog!$A$10,E25,IF(A25&gt;Borelog!$A$10,IF(SPT_Data!A25&lt;Borelog!$B$10,SPT_Data!E25,""),"")))</f>
        <v/>
      </c>
    </row>
    <row r="26" spans="8:16" x14ac:dyDescent="0.3">
      <c r="H26" t="str">
        <f>IF(A26="","",IF(A26=Borelog!$A$2,E26,IF(A26&gt;Borelog!$A$2,IF(SPT_Data!A26&lt;Borelog!$B$2,SPT_Data!E26,""),"")))</f>
        <v/>
      </c>
      <c r="I26" t="str">
        <f>IF(A26="","",IF(A26=Borelog!$A$3,E26,IF(A26&gt;Borelog!$A$3,IF(SPT_Data!A26&lt;Borelog!$B$3,SPT_Data!E26,""),"")))</f>
        <v/>
      </c>
      <c r="J26" t="str">
        <f>IF(A26="","",IF(A26=Borelog!$A$4,E26,IF(A26&gt;Borelog!$A$4,IF(SPT_Data!A26&lt;Borelog!$B$4,SPT_Data!E26,""),"")))</f>
        <v/>
      </c>
      <c r="K26" t="str">
        <f>IF(A26="","",IF(A26=Borelog!$A$5,E26,IF(A26&gt;Borelog!$A$5,IF(SPT_Data!A26&lt;Borelog!$B$5,SPT_Data!E26,""),"")))</f>
        <v/>
      </c>
      <c r="L26" t="str">
        <f>IF(A26="","",IF(A26=Borelog!$A$6,E26,IF(A26&gt;Borelog!$A$6,IF(SPT_Data!A26&lt;Borelog!$B$6,SPT_Data!E26,""),"")))</f>
        <v/>
      </c>
      <c r="M26" t="str">
        <f>IF(A26="","",IF(A26=Borelog!$A$7,E26,IF(A26&gt;Borelog!$A$7,IF(SPT_Data!A26&lt;Borelog!$B$7,SPT_Data!E26,""),"")))</f>
        <v/>
      </c>
      <c r="N26" t="str">
        <f>IF(A26="","",IF(A26=Borelog!$A$8,E26,IF(A26&gt;Borelog!$A$8,IF(SPT_Data!A26&lt;Borelog!$B$8,SPT_Data!E26,""),"")))</f>
        <v/>
      </c>
      <c r="O26" t="str">
        <f>IF(A26="","",IF(A26=Borelog!$A$9,E26,IF(A26&gt;Borelog!$A$9,IF(SPT_Data!A26&lt;Borelog!$B$9,SPT_Data!E26,""),"")))</f>
        <v/>
      </c>
      <c r="P26" t="str">
        <f>IF(A26="","",IF(A26=Borelog!$A$10,E26,IF(A26&gt;Borelog!$A$10,IF(SPT_Data!A26&lt;Borelog!$B$10,SPT_Data!E26,""),"")))</f>
        <v/>
      </c>
    </row>
    <row r="27" spans="8:16" x14ac:dyDescent="0.3">
      <c r="H27" t="str">
        <f>IF(A27="","",IF(A27=Borelog!$A$2,E27,IF(A27&gt;Borelog!$A$2,IF(SPT_Data!A27&lt;Borelog!$B$2,SPT_Data!E27,""),"")))</f>
        <v/>
      </c>
      <c r="I27" t="str">
        <f>IF(A27="","",IF(A27=Borelog!$A$3,E27,IF(A27&gt;Borelog!$A$3,IF(SPT_Data!A27&lt;Borelog!$B$3,SPT_Data!E27,""),"")))</f>
        <v/>
      </c>
      <c r="J27" t="str">
        <f>IF(A27="","",IF(A27=Borelog!$A$4,E27,IF(A27&gt;Borelog!$A$4,IF(SPT_Data!A27&lt;Borelog!$B$4,SPT_Data!E27,""),"")))</f>
        <v/>
      </c>
      <c r="K27" t="str">
        <f>IF(A27="","",IF(A27=Borelog!$A$5,E27,IF(A27&gt;Borelog!$A$5,IF(SPT_Data!A27&lt;Borelog!$B$5,SPT_Data!E27,""),"")))</f>
        <v/>
      </c>
      <c r="L27" t="str">
        <f>IF(A27="","",IF(A27=Borelog!$A$6,E27,IF(A27&gt;Borelog!$A$6,IF(SPT_Data!A27&lt;Borelog!$B$6,SPT_Data!E27,""),"")))</f>
        <v/>
      </c>
      <c r="M27" t="str">
        <f>IF(A27="","",IF(A27=Borelog!$A$7,E27,IF(A27&gt;Borelog!$A$7,IF(SPT_Data!A27&lt;Borelog!$B$7,SPT_Data!E27,""),"")))</f>
        <v/>
      </c>
      <c r="N27" t="str">
        <f>IF(A27="","",IF(A27=Borelog!$A$8,E27,IF(A27&gt;Borelog!$A$8,IF(SPT_Data!A27&lt;Borelog!$B$8,SPT_Data!E27,""),"")))</f>
        <v/>
      </c>
      <c r="O27" t="str">
        <f>IF(A27="","",IF(A27=Borelog!$A$9,E27,IF(A27&gt;Borelog!$A$9,IF(SPT_Data!A27&lt;Borelog!$B$9,SPT_Data!E27,""),"")))</f>
        <v/>
      </c>
      <c r="P27" t="str">
        <f>IF(A27="","",IF(A27=Borelog!$A$10,E27,IF(A27&gt;Borelog!$A$10,IF(SPT_Data!A27&lt;Borelog!$B$10,SPT_Data!E27,""),"")))</f>
        <v/>
      </c>
    </row>
    <row r="28" spans="8:16" x14ac:dyDescent="0.3">
      <c r="H28" t="str">
        <f>IF(A28="","",IF(A28=Borelog!$A$2,E28,IF(A28&gt;Borelog!$A$2,IF(SPT_Data!A28&lt;Borelog!$B$2,SPT_Data!E28,""),"")))</f>
        <v/>
      </c>
      <c r="I28" t="str">
        <f>IF(A28="","",IF(A28=Borelog!$A$3,E28,IF(A28&gt;Borelog!$A$3,IF(SPT_Data!A28&lt;Borelog!$B$3,SPT_Data!E28,""),"")))</f>
        <v/>
      </c>
      <c r="J28" t="str">
        <f>IF(A28="","",IF(A28=Borelog!$A$4,E28,IF(A28&gt;Borelog!$A$4,IF(SPT_Data!A28&lt;Borelog!$B$4,SPT_Data!E28,""),"")))</f>
        <v/>
      </c>
      <c r="K28" t="str">
        <f>IF(A28="","",IF(A28=Borelog!$A$5,E28,IF(A28&gt;Borelog!$A$5,IF(SPT_Data!A28&lt;Borelog!$B$5,SPT_Data!E28,""),"")))</f>
        <v/>
      </c>
      <c r="L28" t="str">
        <f>IF(A28="","",IF(A28=Borelog!$A$6,E28,IF(A28&gt;Borelog!$A$6,IF(SPT_Data!A28&lt;Borelog!$B$6,SPT_Data!E28,""),"")))</f>
        <v/>
      </c>
      <c r="M28" t="str">
        <f>IF(A28="","",IF(A28=Borelog!$A$7,E28,IF(A28&gt;Borelog!$A$7,IF(SPT_Data!A28&lt;Borelog!$B$7,SPT_Data!E28,""),"")))</f>
        <v/>
      </c>
      <c r="N28" t="str">
        <f>IF(A28="","",IF(A28=Borelog!$A$8,E28,IF(A28&gt;Borelog!$A$8,IF(SPT_Data!A28&lt;Borelog!$B$8,SPT_Data!E28,""),"")))</f>
        <v/>
      </c>
      <c r="O28" t="str">
        <f>IF(A28="","",IF(A28=Borelog!$A$9,E28,IF(A28&gt;Borelog!$A$9,IF(SPT_Data!A28&lt;Borelog!$B$9,SPT_Data!E28,""),"")))</f>
        <v/>
      </c>
      <c r="P28" t="str">
        <f>IF(A28="","",IF(A28=Borelog!$A$10,E28,IF(A28&gt;Borelog!$A$10,IF(SPT_Data!A28&lt;Borelog!$B$10,SPT_Data!E28,""),"")))</f>
        <v/>
      </c>
    </row>
    <row r="29" spans="8:16" x14ac:dyDescent="0.3">
      <c r="H29" t="str">
        <f>IF(A29="","",IF(A29=Borelog!$A$2,E29,IF(A29&gt;Borelog!$A$2,IF(SPT_Data!A29&lt;Borelog!$B$2,SPT_Data!E29,""),"")))</f>
        <v/>
      </c>
      <c r="I29" t="str">
        <f>IF(A29="","",IF(A29=Borelog!$A$3,E29,IF(A29&gt;Borelog!$A$3,IF(SPT_Data!A29&lt;Borelog!$B$3,SPT_Data!E29,""),"")))</f>
        <v/>
      </c>
      <c r="J29" t="str">
        <f>IF(A29="","",IF(A29=Borelog!$A$4,E29,IF(A29&gt;Borelog!$A$4,IF(SPT_Data!A29&lt;Borelog!$B$4,SPT_Data!E29,""),"")))</f>
        <v/>
      </c>
      <c r="K29" t="str">
        <f>IF(A29="","",IF(A29=Borelog!$A$5,E29,IF(A29&gt;Borelog!$A$5,IF(SPT_Data!A29&lt;Borelog!$B$5,SPT_Data!E29,""),"")))</f>
        <v/>
      </c>
      <c r="L29" t="str">
        <f>IF(A29="","",IF(A29=Borelog!$A$6,E29,IF(A29&gt;Borelog!$A$6,IF(SPT_Data!A29&lt;Borelog!$B$6,SPT_Data!E29,""),"")))</f>
        <v/>
      </c>
      <c r="M29" t="str">
        <f>IF(A29="","",IF(A29=Borelog!$A$7,E29,IF(A29&gt;Borelog!$A$7,IF(SPT_Data!A29&lt;Borelog!$B$7,SPT_Data!E29,""),"")))</f>
        <v/>
      </c>
      <c r="N29" t="str">
        <f>IF(A29="","",IF(A29=Borelog!$A$8,E29,IF(A29&gt;Borelog!$A$8,IF(SPT_Data!A29&lt;Borelog!$B$8,SPT_Data!E29,""),"")))</f>
        <v/>
      </c>
      <c r="O29" t="str">
        <f>IF(A29="","",IF(A29=Borelog!$A$9,E29,IF(A29&gt;Borelog!$A$9,IF(SPT_Data!A29&lt;Borelog!$B$9,SPT_Data!E29,""),"")))</f>
        <v/>
      </c>
      <c r="P29" t="str">
        <f>IF(A29="","",IF(A29=Borelog!$A$10,E29,IF(A29&gt;Borelog!$A$10,IF(SPT_Data!A29&lt;Borelog!$B$10,SPT_Data!E29,""),"")))</f>
        <v/>
      </c>
    </row>
    <row r="30" spans="8:16" x14ac:dyDescent="0.3">
      <c r="H30" t="str">
        <f>IF(A30="","",IF(A30=Borelog!$A$2,E30,IF(A30&gt;Borelog!$A$2,IF(SPT_Data!A30&lt;Borelog!$B$2,SPT_Data!E30,""),"")))</f>
        <v/>
      </c>
      <c r="I30" t="str">
        <f>IF(A30="","",IF(A30=Borelog!$A$3,E30,IF(A30&gt;Borelog!$A$3,IF(SPT_Data!A30&lt;Borelog!$B$3,SPT_Data!E30,""),"")))</f>
        <v/>
      </c>
      <c r="J30" t="str">
        <f>IF(A30="","",IF(A30=Borelog!$A$4,E30,IF(A30&gt;Borelog!$A$4,IF(SPT_Data!A30&lt;Borelog!$B$4,SPT_Data!E30,""),"")))</f>
        <v/>
      </c>
      <c r="K30" t="str">
        <f>IF(A30="","",IF(A30=Borelog!$A$5,E30,IF(A30&gt;Borelog!$A$5,IF(SPT_Data!A30&lt;Borelog!$B$5,SPT_Data!E30,""),"")))</f>
        <v/>
      </c>
      <c r="L30" t="str">
        <f>IF(A30="","",IF(A30=Borelog!$A$6,E30,IF(A30&gt;Borelog!$A$6,IF(SPT_Data!A30&lt;Borelog!$B$6,SPT_Data!E30,""),"")))</f>
        <v/>
      </c>
      <c r="M30" t="str">
        <f>IF(A30="","",IF(A30=Borelog!$A$7,E30,IF(A30&gt;Borelog!$A$7,IF(SPT_Data!A30&lt;Borelog!$B$7,SPT_Data!E30,""),"")))</f>
        <v/>
      </c>
      <c r="N30" t="str">
        <f>IF(A30="","",IF(A30=Borelog!$A$8,E30,IF(A30&gt;Borelog!$A$8,IF(SPT_Data!A30&lt;Borelog!$B$8,SPT_Data!E30,""),"")))</f>
        <v/>
      </c>
      <c r="O30" t="str">
        <f>IF(A30="","",IF(A30=Borelog!$A$9,E30,IF(A30&gt;Borelog!$A$9,IF(SPT_Data!A30&lt;Borelog!$B$9,SPT_Data!E30,""),"")))</f>
        <v/>
      </c>
      <c r="P30" t="str">
        <f>IF(A30="","",IF(A30=Borelog!$A$10,E30,IF(A30&gt;Borelog!$A$10,IF(SPT_Data!A30&lt;Borelog!$B$10,SPT_Data!E30,""),"")))</f>
        <v/>
      </c>
    </row>
    <row r="31" spans="8:16" x14ac:dyDescent="0.3">
      <c r="H31" t="str">
        <f>IF(A31="","",IF(A31=Borelog!$A$2,E31,IF(A31&gt;Borelog!$A$2,IF(SPT_Data!A31&lt;Borelog!$B$2,SPT_Data!E31,""),"")))</f>
        <v/>
      </c>
      <c r="I31" t="str">
        <f>IF(A31="","",IF(A31=Borelog!$A$3,E31,IF(A31&gt;Borelog!$A$3,IF(SPT_Data!A31&lt;Borelog!$B$3,SPT_Data!E31,""),"")))</f>
        <v/>
      </c>
      <c r="J31" t="str">
        <f>IF(A31="","",IF(A31=Borelog!$A$4,E31,IF(A31&gt;Borelog!$A$4,IF(SPT_Data!A31&lt;Borelog!$B$4,SPT_Data!E31,""),"")))</f>
        <v/>
      </c>
      <c r="K31" t="str">
        <f>IF(A31="","",IF(A31=Borelog!$A$5,E31,IF(A31&gt;Borelog!$A$5,IF(SPT_Data!A31&lt;Borelog!$B$5,SPT_Data!E31,""),"")))</f>
        <v/>
      </c>
      <c r="L31" t="str">
        <f>IF(A31="","",IF(A31=Borelog!$A$6,E31,IF(A31&gt;Borelog!$A$6,IF(SPT_Data!A31&lt;Borelog!$B$6,SPT_Data!E31,""),"")))</f>
        <v/>
      </c>
      <c r="M31" t="str">
        <f>IF(A31="","",IF(A31=Borelog!$A$7,E31,IF(A31&gt;Borelog!$A$7,IF(SPT_Data!A31&lt;Borelog!$B$7,SPT_Data!E31,""),"")))</f>
        <v/>
      </c>
      <c r="N31" t="str">
        <f>IF(A31="","",IF(A31=Borelog!$A$8,E31,IF(A31&gt;Borelog!$A$8,IF(SPT_Data!A31&lt;Borelog!$B$8,SPT_Data!E31,""),"")))</f>
        <v/>
      </c>
      <c r="O31" t="str">
        <f>IF(A31="","",IF(A31=Borelog!$A$9,E31,IF(A31&gt;Borelog!$A$9,IF(SPT_Data!A31&lt;Borelog!$B$9,SPT_Data!E31,""),"")))</f>
        <v/>
      </c>
      <c r="P31" t="str">
        <f>IF(A31="","",IF(A31=Borelog!$A$10,E31,IF(A31&gt;Borelog!$A$10,IF(SPT_Data!A31&lt;Borelog!$B$10,SPT_Data!E31,""),"")))</f>
        <v/>
      </c>
    </row>
    <row r="32" spans="8:16" x14ac:dyDescent="0.3">
      <c r="H32" t="str">
        <f>IF(A32="","",IF(A32=Borelog!$A$2,E32,IF(A32&gt;Borelog!$A$2,IF(SPT_Data!A32&lt;Borelog!$B$2,SPT_Data!E32,""),"")))</f>
        <v/>
      </c>
      <c r="I32" t="str">
        <f>IF(A32="","",IF(A32=Borelog!$A$3,E32,IF(A32&gt;Borelog!$A$3,IF(SPT_Data!A32&lt;Borelog!$B$3,SPT_Data!E32,""),"")))</f>
        <v/>
      </c>
      <c r="J32" t="str">
        <f>IF(A32="","",IF(A32=Borelog!$A$4,E32,IF(A32&gt;Borelog!$A$4,IF(SPT_Data!A32&lt;Borelog!$B$4,SPT_Data!E32,""),"")))</f>
        <v/>
      </c>
      <c r="K32" t="str">
        <f>IF(A32="","",IF(A32=Borelog!$A$5,E32,IF(A32&gt;Borelog!$A$5,IF(SPT_Data!A32&lt;Borelog!$B$5,SPT_Data!E32,""),"")))</f>
        <v/>
      </c>
      <c r="L32" t="str">
        <f>IF(A32="","",IF(A32=Borelog!$A$6,E32,IF(A32&gt;Borelog!$A$6,IF(SPT_Data!A32&lt;Borelog!$B$6,SPT_Data!E32,""),"")))</f>
        <v/>
      </c>
      <c r="M32" t="str">
        <f>IF(A32="","",IF(A32=Borelog!$A$7,E32,IF(A32&gt;Borelog!$A$7,IF(SPT_Data!A32&lt;Borelog!$B$7,SPT_Data!E32,""),"")))</f>
        <v/>
      </c>
      <c r="N32" t="str">
        <f>IF(A32="","",IF(A32=Borelog!$A$8,E32,IF(A32&gt;Borelog!$A$8,IF(SPT_Data!A32&lt;Borelog!$B$8,SPT_Data!E32,""),"")))</f>
        <v/>
      </c>
      <c r="O32" t="str">
        <f>IF(A32="","",IF(A32=Borelog!$A$9,E32,IF(A32&gt;Borelog!$A$9,IF(SPT_Data!A32&lt;Borelog!$B$9,SPT_Data!E32,""),"")))</f>
        <v/>
      </c>
      <c r="P32" t="str">
        <f>IF(A32="","",IF(A32=Borelog!$A$10,E32,IF(A32&gt;Borelog!$A$10,IF(SPT_Data!A32&lt;Borelog!$B$10,SPT_Data!E32,""),"")))</f>
        <v/>
      </c>
    </row>
    <row r="33" spans="8:16" x14ac:dyDescent="0.3">
      <c r="H33" t="str">
        <f>IF(A33="","",IF(A33=Borelog!$A$2,E33,IF(A33&gt;Borelog!$A$2,IF(SPT_Data!A33&lt;Borelog!$B$2,SPT_Data!E33,""),"")))</f>
        <v/>
      </c>
      <c r="I33" t="str">
        <f>IF(A33="","",IF(A33=Borelog!$A$3,E33,IF(A33&gt;Borelog!$A$3,IF(SPT_Data!A33&lt;Borelog!$B$3,SPT_Data!E33,""),"")))</f>
        <v/>
      </c>
      <c r="J33" t="str">
        <f>IF(A33="","",IF(A33=Borelog!$A$4,E33,IF(A33&gt;Borelog!$A$4,IF(SPT_Data!A33&lt;Borelog!$B$4,SPT_Data!E33,""),"")))</f>
        <v/>
      </c>
      <c r="K33" t="str">
        <f>IF(A33="","",IF(A33=Borelog!$A$5,E33,IF(A33&gt;Borelog!$A$5,IF(SPT_Data!A33&lt;Borelog!$B$5,SPT_Data!E33,""),"")))</f>
        <v/>
      </c>
      <c r="L33" t="str">
        <f>IF(A33="","",IF(A33=Borelog!$A$6,E33,IF(A33&gt;Borelog!$A$6,IF(SPT_Data!A33&lt;Borelog!$B$6,SPT_Data!E33,""),"")))</f>
        <v/>
      </c>
      <c r="M33" t="str">
        <f>IF(A33="","",IF(A33=Borelog!$A$7,E33,IF(A33&gt;Borelog!$A$7,IF(SPT_Data!A33&lt;Borelog!$B$7,SPT_Data!E33,""),"")))</f>
        <v/>
      </c>
      <c r="N33" t="str">
        <f>IF(A33="","",IF(A33=Borelog!$A$8,E33,IF(A33&gt;Borelog!$A$8,IF(SPT_Data!A33&lt;Borelog!$B$8,SPT_Data!E33,""),"")))</f>
        <v/>
      </c>
      <c r="O33" t="str">
        <f>IF(A33="","",IF(A33=Borelog!$A$9,E33,IF(A33&gt;Borelog!$A$9,IF(SPT_Data!A33&lt;Borelog!$B$9,SPT_Data!E33,""),"")))</f>
        <v/>
      </c>
      <c r="P33" t="str">
        <f>IF(A33="","",IF(A33=Borelog!$A$10,E33,IF(A33&gt;Borelog!$A$10,IF(SPT_Data!A33&lt;Borelog!$B$10,SPT_Data!E33,""),"")))</f>
        <v/>
      </c>
    </row>
    <row r="34" spans="8:16" x14ac:dyDescent="0.3">
      <c r="H34" t="str">
        <f>IF(A34="","",IF(A34=Borelog!$A$2,E34,IF(A34&gt;Borelog!$A$2,IF(SPT_Data!A34&lt;Borelog!$B$2,SPT_Data!E34,""),"")))</f>
        <v/>
      </c>
      <c r="I34" t="str">
        <f>IF(A34="","",IF(A34=Borelog!$A$3,E34,IF(A34&gt;Borelog!$A$3,IF(SPT_Data!A34&lt;Borelog!$B$3,SPT_Data!E34,""),"")))</f>
        <v/>
      </c>
      <c r="J34" t="str">
        <f>IF(A34="","",IF(A34=Borelog!$A$4,E34,IF(A34&gt;Borelog!$A$4,IF(SPT_Data!A34&lt;Borelog!$B$4,SPT_Data!E34,""),"")))</f>
        <v/>
      </c>
      <c r="K34" t="str">
        <f>IF(A34="","",IF(A34=Borelog!$A$5,E34,IF(A34&gt;Borelog!$A$5,IF(SPT_Data!A34&lt;Borelog!$B$5,SPT_Data!E34,""),"")))</f>
        <v/>
      </c>
      <c r="L34" t="str">
        <f>IF(A34="","",IF(A34=Borelog!$A$6,E34,IF(A34&gt;Borelog!$A$6,IF(SPT_Data!A34&lt;Borelog!$B$6,SPT_Data!E34,""),"")))</f>
        <v/>
      </c>
      <c r="M34" t="str">
        <f>IF(A34="","",IF(A34=Borelog!$A$7,E34,IF(A34&gt;Borelog!$A$7,IF(SPT_Data!A34&lt;Borelog!$B$7,SPT_Data!E34,""),"")))</f>
        <v/>
      </c>
      <c r="N34" t="str">
        <f>IF(A34="","",IF(A34=Borelog!$A$8,E34,IF(A34&gt;Borelog!$A$8,IF(SPT_Data!A34&lt;Borelog!$B$8,SPT_Data!E34,""),"")))</f>
        <v/>
      </c>
      <c r="O34" t="str">
        <f>IF(A34="","",IF(A34=Borelog!$A$9,E34,IF(A34&gt;Borelog!$A$9,IF(SPT_Data!A34&lt;Borelog!$B$9,SPT_Data!E34,""),"")))</f>
        <v/>
      </c>
      <c r="P34" t="str">
        <f>IF(A34="","",IF(A34=Borelog!$A$10,E34,IF(A34&gt;Borelog!$A$10,IF(SPT_Data!A34&lt;Borelog!$B$10,SPT_Data!E34,""),"")))</f>
        <v/>
      </c>
    </row>
    <row r="35" spans="8:16" x14ac:dyDescent="0.3">
      <c r="H35" t="str">
        <f>IF(A35="","",IF(A35=Borelog!$A$2,E35,IF(A35&gt;Borelog!$A$2,IF(SPT_Data!A35&lt;Borelog!$B$2,SPT_Data!E35,""),"")))</f>
        <v/>
      </c>
      <c r="I35" t="str">
        <f>IF(A35="","",IF(A35=Borelog!$A$3,E35,IF(A35&gt;Borelog!$A$3,IF(SPT_Data!A35&lt;Borelog!$B$3,SPT_Data!E35,""),"")))</f>
        <v/>
      </c>
      <c r="J35" t="str">
        <f>IF(A35="","",IF(A35=Borelog!$A$4,E35,IF(A35&gt;Borelog!$A$4,IF(SPT_Data!A35&lt;Borelog!$B$4,SPT_Data!E35,""),"")))</f>
        <v/>
      </c>
      <c r="K35" t="str">
        <f>IF(A35="","",IF(A35=Borelog!$A$5,E35,IF(A35&gt;Borelog!$A$5,IF(SPT_Data!A35&lt;Borelog!$B$5,SPT_Data!E35,""),"")))</f>
        <v/>
      </c>
      <c r="L35" t="str">
        <f>IF(A35="","",IF(A35=Borelog!$A$6,E35,IF(A35&gt;Borelog!$A$6,IF(SPT_Data!A35&lt;Borelog!$B$6,SPT_Data!E35,""),"")))</f>
        <v/>
      </c>
      <c r="M35" t="str">
        <f>IF(A35="","",IF(A35=Borelog!$A$7,E35,IF(A35&gt;Borelog!$A$7,IF(SPT_Data!A35&lt;Borelog!$B$7,SPT_Data!E35,""),"")))</f>
        <v/>
      </c>
      <c r="N35" t="str">
        <f>IF(A35="","",IF(A35=Borelog!$A$8,E35,IF(A35&gt;Borelog!$A$8,IF(SPT_Data!A35&lt;Borelog!$B$8,SPT_Data!E35,""),"")))</f>
        <v/>
      </c>
      <c r="O35" t="str">
        <f>IF(A35="","",IF(A35=Borelog!$A$9,E35,IF(A35&gt;Borelog!$A$9,IF(SPT_Data!A35&lt;Borelog!$B$9,SPT_Data!E35,""),"")))</f>
        <v/>
      </c>
      <c r="P35" t="str">
        <f>IF(A35="","",IF(A35=Borelog!$A$10,E35,IF(A35&gt;Borelog!$A$10,IF(SPT_Data!A35&lt;Borelog!$B$10,SPT_Data!E35,""),"")))</f>
        <v/>
      </c>
    </row>
    <row r="37" spans="8:16" x14ac:dyDescent="0.3">
      <c r="H37">
        <f>IF(H38&lt;1,"",AVERAGE(H2:H35))</f>
        <v>2</v>
      </c>
      <c r="I37">
        <f t="shared" ref="I37:P37" si="1">IF(I38&lt;1,"",AVERAGE(I2:I35))</f>
        <v>2</v>
      </c>
      <c r="J37">
        <f t="shared" si="1"/>
        <v>1</v>
      </c>
      <c r="K37">
        <f t="shared" si="1"/>
        <v>0</v>
      </c>
      <c r="L37">
        <f t="shared" si="1"/>
        <v>0</v>
      </c>
      <c r="M37">
        <f t="shared" si="1"/>
        <v>1.6666666666666667</v>
      </c>
      <c r="N37">
        <f t="shared" si="1"/>
        <v>3</v>
      </c>
      <c r="O37">
        <f t="shared" si="1"/>
        <v>4</v>
      </c>
      <c r="P37">
        <f t="shared" si="1"/>
        <v>12</v>
      </c>
    </row>
    <row r="38" spans="8:16" x14ac:dyDescent="0.3">
      <c r="H38">
        <f>COUNT(H2:H36)</f>
        <v>1</v>
      </c>
      <c r="I38">
        <f t="shared" ref="I38:P38" si="2">COUNT(I2:I36)</f>
        <v>1</v>
      </c>
      <c r="J38">
        <f t="shared" si="2"/>
        <v>1</v>
      </c>
      <c r="K38">
        <f t="shared" si="2"/>
        <v>1</v>
      </c>
      <c r="L38">
        <f t="shared" si="2"/>
        <v>1</v>
      </c>
      <c r="M38">
        <f t="shared" si="2"/>
        <v>3</v>
      </c>
      <c r="N38">
        <f t="shared" si="2"/>
        <v>2</v>
      </c>
      <c r="O38">
        <f t="shared" si="2"/>
        <v>1</v>
      </c>
      <c r="P38">
        <f t="shared" si="2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>
      <selection activeCell="C10" sqref="C10"/>
    </sheetView>
  </sheetViews>
  <sheetFormatPr defaultColWidth="9" defaultRowHeight="14.4" x14ac:dyDescent="0.3"/>
  <cols>
    <col min="1" max="1" width="23.44140625" customWidth="1"/>
    <col min="2" max="2" width="54.44140625" customWidth="1"/>
    <col min="3" max="3" width="48" customWidth="1"/>
  </cols>
  <sheetData>
    <row r="1" spans="1:3" x14ac:dyDescent="0.3">
      <c r="B1" s="2">
        <v>0</v>
      </c>
      <c r="C1" s="14" t="s">
        <v>53</v>
      </c>
    </row>
    <row r="2" spans="1:3" ht="28.8" x14ac:dyDescent="0.3">
      <c r="A2" s="2" t="s">
        <v>36</v>
      </c>
      <c r="B2" t="s">
        <v>37</v>
      </c>
      <c r="C2" s="1" t="s">
        <v>84</v>
      </c>
    </row>
    <row r="3" spans="1:3" x14ac:dyDescent="0.3">
      <c r="A3" s="2" t="s">
        <v>38</v>
      </c>
      <c r="B3" t="s">
        <v>39</v>
      </c>
      <c r="C3" s="1" t="s">
        <v>85</v>
      </c>
    </row>
    <row r="4" spans="1:3" x14ac:dyDescent="0.3">
      <c r="A4" s="2" t="s">
        <v>40</v>
      </c>
      <c r="B4" t="s">
        <v>41</v>
      </c>
      <c r="C4" s="1" t="s">
        <v>86</v>
      </c>
    </row>
    <row r="5" spans="1:3" x14ac:dyDescent="0.3">
      <c r="A5" s="2" t="s">
        <v>42</v>
      </c>
      <c r="B5" t="s">
        <v>43</v>
      </c>
      <c r="C5" s="1" t="s">
        <v>87</v>
      </c>
    </row>
    <row r="6" spans="1:3" x14ac:dyDescent="0.3">
      <c r="A6" s="2" t="s">
        <v>44</v>
      </c>
      <c r="B6" t="s">
        <v>45</v>
      </c>
      <c r="C6" s="1" t="s">
        <v>88</v>
      </c>
    </row>
    <row r="7" spans="1:3" x14ac:dyDescent="0.3">
      <c r="A7" s="2" t="s">
        <v>46</v>
      </c>
      <c r="B7" t="s">
        <v>45</v>
      </c>
      <c r="C7" s="1" t="s">
        <v>89</v>
      </c>
    </row>
    <row r="8" spans="1:3" ht="28.8" x14ac:dyDescent="0.3">
      <c r="A8" s="2" t="s">
        <v>47</v>
      </c>
      <c r="B8">
        <v>0.2</v>
      </c>
      <c r="C8" s="1" t="s">
        <v>90</v>
      </c>
    </row>
    <row r="9" spans="1:3" x14ac:dyDescent="0.3">
      <c r="A9" s="2" t="s">
        <v>48</v>
      </c>
      <c r="B9">
        <v>23.45</v>
      </c>
      <c r="C9" s="1" t="s">
        <v>91</v>
      </c>
    </row>
    <row r="10" spans="1:3" ht="28.8" x14ac:dyDescent="0.3">
      <c r="A10" s="3" t="s">
        <v>49</v>
      </c>
      <c r="C10" s="1" t="s">
        <v>92</v>
      </c>
    </row>
    <row r="11" spans="1:3" ht="28.8" x14ac:dyDescent="0.3">
      <c r="A11" s="3" t="s">
        <v>50</v>
      </c>
      <c r="C11" s="1" t="s">
        <v>93</v>
      </c>
    </row>
    <row r="12" spans="1:3" x14ac:dyDescent="0.3">
      <c r="A12" s="3" t="s">
        <v>51</v>
      </c>
      <c r="C12" s="1" t="s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6"/>
  <sheetViews>
    <sheetView topLeftCell="A22" workbookViewId="0">
      <selection activeCell="D13" sqref="D13"/>
    </sheetView>
  </sheetViews>
  <sheetFormatPr defaultRowHeight="14.4" x14ac:dyDescent="0.3"/>
  <cols>
    <col min="1" max="1" width="6" customWidth="1"/>
    <col min="2" max="2" width="22" customWidth="1"/>
    <col min="3" max="3" width="24" customWidth="1"/>
    <col min="4" max="4" width="30" customWidth="1"/>
    <col min="5" max="5" width="23" customWidth="1"/>
    <col min="6" max="6" width="20" customWidth="1"/>
    <col min="7" max="7" width="34" customWidth="1"/>
    <col min="8" max="8" width="23" customWidth="1"/>
    <col min="9" max="9" width="58" customWidth="1"/>
    <col min="10" max="10" width="42" customWidth="1"/>
  </cols>
  <sheetData>
    <row r="1" spans="1:10" ht="20.85" customHeight="1" x14ac:dyDescent="0.3">
      <c r="A1" s="15" t="s">
        <v>95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30.45" customHeight="1" x14ac:dyDescent="0.3">
      <c r="A2" s="16" t="s">
        <v>96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30.45" customHeight="1" x14ac:dyDescent="0.3">
      <c r="A3" s="16" t="s">
        <v>97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30.45" customHeight="1" x14ac:dyDescent="0.3">
      <c r="A4" s="16" t="s">
        <v>98</v>
      </c>
      <c r="B4" s="16"/>
      <c r="C4" s="16"/>
      <c r="D4" s="16"/>
      <c r="E4" s="16"/>
      <c r="F4" s="16"/>
      <c r="G4" s="16"/>
      <c r="H4" s="16"/>
      <c r="I4" s="16"/>
      <c r="J4" s="16"/>
    </row>
    <row r="6" spans="1:10" x14ac:dyDescent="0.3">
      <c r="A6" s="8" t="s">
        <v>99</v>
      </c>
      <c r="B6" s="9" t="s">
        <v>100</v>
      </c>
      <c r="C6" s="9" t="s">
        <v>101</v>
      </c>
      <c r="D6" s="9" t="s">
        <v>102</v>
      </c>
      <c r="E6" s="9" t="s">
        <v>103</v>
      </c>
      <c r="F6" s="9" t="s">
        <v>104</v>
      </c>
      <c r="G6" s="9" t="s">
        <v>105</v>
      </c>
      <c r="H6" s="9" t="s">
        <v>106</v>
      </c>
      <c r="I6" s="9" t="s">
        <v>107</v>
      </c>
      <c r="J6" s="10" t="s">
        <v>108</v>
      </c>
    </row>
    <row r="7" spans="1:10" ht="28.8" x14ac:dyDescent="0.3">
      <c r="A7" s="11">
        <v>1</v>
      </c>
      <c r="B7" s="1" t="s">
        <v>109</v>
      </c>
      <c r="C7" s="1" t="s">
        <v>110</v>
      </c>
      <c r="D7" s="1" t="s">
        <v>36</v>
      </c>
      <c r="E7" s="1" t="s">
        <v>111</v>
      </c>
      <c r="F7" s="1" t="s">
        <v>112</v>
      </c>
      <c r="G7" s="1" t="s">
        <v>113</v>
      </c>
      <c r="H7" s="1" t="s">
        <v>114</v>
      </c>
      <c r="I7" s="1" t="s">
        <v>115</v>
      </c>
      <c r="J7" s="12" t="s">
        <v>116</v>
      </c>
    </row>
    <row r="8" spans="1:10" x14ac:dyDescent="0.3">
      <c r="A8" s="11">
        <v>2</v>
      </c>
      <c r="B8" s="1" t="s">
        <v>109</v>
      </c>
      <c r="C8" s="1" t="s">
        <v>117</v>
      </c>
      <c r="D8" s="1" t="s">
        <v>38</v>
      </c>
      <c r="E8" s="1" t="s">
        <v>111</v>
      </c>
      <c r="F8" s="1" t="s">
        <v>112</v>
      </c>
      <c r="G8" s="1" t="s">
        <v>118</v>
      </c>
      <c r="H8" s="1" t="s">
        <v>119</v>
      </c>
      <c r="I8" s="1" t="s">
        <v>120</v>
      </c>
      <c r="J8" s="12"/>
    </row>
    <row r="9" spans="1:10" x14ac:dyDescent="0.3">
      <c r="A9" s="11">
        <v>3</v>
      </c>
      <c r="B9" s="1" t="s">
        <v>109</v>
      </c>
      <c r="C9" s="1" t="s">
        <v>121</v>
      </c>
      <c r="D9" s="1" t="s">
        <v>40</v>
      </c>
      <c r="E9" s="1" t="s">
        <v>111</v>
      </c>
      <c r="F9" s="1" t="s">
        <v>112</v>
      </c>
      <c r="G9" s="1" t="s">
        <v>122</v>
      </c>
      <c r="H9" s="1" t="s">
        <v>119</v>
      </c>
      <c r="I9" s="1" t="s">
        <v>123</v>
      </c>
      <c r="J9" s="12"/>
    </row>
    <row r="10" spans="1:10" ht="28.8" x14ac:dyDescent="0.3">
      <c r="A10" s="11">
        <v>4</v>
      </c>
      <c r="B10" s="1" t="s">
        <v>109</v>
      </c>
      <c r="C10" s="1" t="s">
        <v>124</v>
      </c>
      <c r="D10" s="1" t="s">
        <v>42</v>
      </c>
      <c r="E10" s="1" t="s">
        <v>125</v>
      </c>
      <c r="F10" s="1" t="s">
        <v>126</v>
      </c>
      <c r="G10" s="1" t="s">
        <v>127</v>
      </c>
      <c r="H10" s="1" t="s">
        <v>119</v>
      </c>
      <c r="I10" s="1" t="s">
        <v>128</v>
      </c>
      <c r="J10" s="12"/>
    </row>
    <row r="11" spans="1:10" x14ac:dyDescent="0.3">
      <c r="A11" s="11">
        <v>5</v>
      </c>
      <c r="B11" s="1" t="s">
        <v>109</v>
      </c>
      <c r="C11" s="1" t="s">
        <v>129</v>
      </c>
      <c r="D11" s="1" t="s">
        <v>44</v>
      </c>
      <c r="E11" s="1" t="s">
        <v>130</v>
      </c>
      <c r="F11" s="1" t="s">
        <v>126</v>
      </c>
      <c r="G11" s="1" t="s">
        <v>131</v>
      </c>
      <c r="H11" s="1" t="s">
        <v>119</v>
      </c>
      <c r="I11" s="1" t="s">
        <v>132</v>
      </c>
      <c r="J11" s="12"/>
    </row>
    <row r="12" spans="1:10" x14ac:dyDescent="0.3">
      <c r="A12" s="11">
        <v>6</v>
      </c>
      <c r="B12" s="1" t="s">
        <v>109</v>
      </c>
      <c r="C12" s="1" t="s">
        <v>133</v>
      </c>
      <c r="D12" s="1" t="s">
        <v>46</v>
      </c>
      <c r="E12" s="1" t="s">
        <v>130</v>
      </c>
      <c r="F12" s="1" t="s">
        <v>126</v>
      </c>
      <c r="G12" s="1" t="s">
        <v>134</v>
      </c>
      <c r="H12" s="1" t="s">
        <v>119</v>
      </c>
      <c r="I12" s="1" t="s">
        <v>135</v>
      </c>
      <c r="J12" s="12"/>
    </row>
    <row r="13" spans="1:10" ht="43.2" x14ac:dyDescent="0.3">
      <c r="A13" s="11">
        <v>7</v>
      </c>
      <c r="B13" s="1" t="s">
        <v>109</v>
      </c>
      <c r="C13" s="1" t="s">
        <v>136</v>
      </c>
      <c r="D13" s="1" t="s">
        <v>47</v>
      </c>
      <c r="E13" s="1" t="s">
        <v>137</v>
      </c>
      <c r="F13" s="1" t="s">
        <v>138</v>
      </c>
      <c r="G13" s="1" t="s">
        <v>139</v>
      </c>
      <c r="H13" s="1" t="s">
        <v>140</v>
      </c>
      <c r="I13" s="1" t="s">
        <v>141</v>
      </c>
      <c r="J13" s="12" t="s">
        <v>142</v>
      </c>
    </row>
    <row r="14" spans="1:10" x14ac:dyDescent="0.3">
      <c r="A14" s="11">
        <v>8</v>
      </c>
      <c r="B14" s="1" t="s">
        <v>109</v>
      </c>
      <c r="C14" s="1" t="s">
        <v>143</v>
      </c>
      <c r="D14" s="1" t="s">
        <v>48</v>
      </c>
      <c r="E14" s="1" t="s">
        <v>144</v>
      </c>
      <c r="F14" s="1" t="s">
        <v>126</v>
      </c>
      <c r="G14" s="1" t="s">
        <v>145</v>
      </c>
      <c r="H14" s="1" t="s">
        <v>119</v>
      </c>
      <c r="I14" s="1" t="s">
        <v>146</v>
      </c>
      <c r="J14" s="12"/>
    </row>
    <row r="15" spans="1:10" ht="43.2" x14ac:dyDescent="0.3">
      <c r="A15" s="11">
        <v>9</v>
      </c>
      <c r="B15" s="1" t="s">
        <v>109</v>
      </c>
      <c r="C15" s="1" t="s">
        <v>147</v>
      </c>
      <c r="D15" s="1" t="s">
        <v>49</v>
      </c>
      <c r="E15" s="1" t="s">
        <v>148</v>
      </c>
      <c r="F15" s="1" t="s">
        <v>126</v>
      </c>
      <c r="G15" s="1" t="s">
        <v>149</v>
      </c>
      <c r="H15" s="1" t="s">
        <v>150</v>
      </c>
      <c r="I15" s="1" t="s">
        <v>151</v>
      </c>
      <c r="J15" s="12"/>
    </row>
    <row r="16" spans="1:10" ht="43.2" x14ac:dyDescent="0.3">
      <c r="A16" s="11">
        <v>10</v>
      </c>
      <c r="B16" s="1" t="s">
        <v>109</v>
      </c>
      <c r="C16" s="1" t="s">
        <v>152</v>
      </c>
      <c r="D16" s="1" t="s">
        <v>50</v>
      </c>
      <c r="E16" s="1" t="s">
        <v>148</v>
      </c>
      <c r="F16" s="1" t="s">
        <v>126</v>
      </c>
      <c r="G16" s="1" t="s">
        <v>153</v>
      </c>
      <c r="H16" s="1" t="s">
        <v>154</v>
      </c>
      <c r="I16" s="1" t="s">
        <v>155</v>
      </c>
      <c r="J16" s="12"/>
    </row>
    <row r="17" spans="1:10" ht="28.8" x14ac:dyDescent="0.3">
      <c r="A17" s="11">
        <v>11</v>
      </c>
      <c r="B17" s="1" t="s">
        <v>109</v>
      </c>
      <c r="C17" s="1" t="s">
        <v>156</v>
      </c>
      <c r="D17" s="1" t="s">
        <v>157</v>
      </c>
      <c r="E17" s="1" t="s">
        <v>158</v>
      </c>
      <c r="F17" s="1" t="s">
        <v>126</v>
      </c>
      <c r="G17" s="1" t="s">
        <v>159</v>
      </c>
      <c r="H17" s="1" t="s">
        <v>119</v>
      </c>
      <c r="I17" s="1" t="s">
        <v>160</v>
      </c>
      <c r="J17" s="12"/>
    </row>
    <row r="18" spans="1:10" x14ac:dyDescent="0.3">
      <c r="A18" s="11">
        <v>12</v>
      </c>
      <c r="B18" s="1" t="s">
        <v>161</v>
      </c>
      <c r="C18" s="1" t="s">
        <v>162</v>
      </c>
      <c r="D18" s="1" t="s">
        <v>0</v>
      </c>
      <c r="E18" s="1" t="s">
        <v>163</v>
      </c>
      <c r="F18" s="1" t="s">
        <v>164</v>
      </c>
      <c r="G18" s="1" t="s">
        <v>165</v>
      </c>
      <c r="H18" s="1" t="s">
        <v>119</v>
      </c>
      <c r="I18" s="1" t="s">
        <v>166</v>
      </c>
      <c r="J18" s="12"/>
    </row>
    <row r="19" spans="1:10" x14ac:dyDescent="0.3">
      <c r="A19" s="11">
        <v>13</v>
      </c>
      <c r="B19" s="1" t="s">
        <v>161</v>
      </c>
      <c r="C19" s="1" t="s">
        <v>167</v>
      </c>
      <c r="D19" s="1" t="s">
        <v>1</v>
      </c>
      <c r="E19" s="1" t="s">
        <v>163</v>
      </c>
      <c r="F19" s="1" t="s">
        <v>164</v>
      </c>
      <c r="G19" s="1" t="s">
        <v>168</v>
      </c>
      <c r="H19" s="1" t="s">
        <v>119</v>
      </c>
      <c r="I19" s="1" t="s">
        <v>169</v>
      </c>
      <c r="J19" s="12"/>
    </row>
    <row r="20" spans="1:10" ht="43.2" x14ac:dyDescent="0.3">
      <c r="A20" s="11">
        <v>14</v>
      </c>
      <c r="B20" s="1" t="s">
        <v>161</v>
      </c>
      <c r="C20" s="1" t="s">
        <v>170</v>
      </c>
      <c r="D20" s="1" t="s">
        <v>2</v>
      </c>
      <c r="E20" s="1" t="s">
        <v>163</v>
      </c>
      <c r="F20" s="1" t="s">
        <v>164</v>
      </c>
      <c r="G20" s="1" t="s">
        <v>171</v>
      </c>
      <c r="H20" s="1" t="s">
        <v>119</v>
      </c>
      <c r="I20" s="1" t="s">
        <v>172</v>
      </c>
      <c r="J20" s="12"/>
    </row>
    <row r="21" spans="1:10" ht="28.8" x14ac:dyDescent="0.3">
      <c r="A21" s="11">
        <v>15</v>
      </c>
      <c r="B21" s="1" t="s">
        <v>161</v>
      </c>
      <c r="C21" s="1" t="s">
        <v>173</v>
      </c>
      <c r="D21" s="1" t="s">
        <v>3</v>
      </c>
      <c r="E21" s="1" t="s">
        <v>174</v>
      </c>
      <c r="F21" s="1" t="s">
        <v>164</v>
      </c>
      <c r="G21" s="1" t="s">
        <v>175</v>
      </c>
      <c r="H21" s="1" t="s">
        <v>176</v>
      </c>
      <c r="I21" s="1" t="s">
        <v>177</v>
      </c>
      <c r="J21" s="12"/>
    </row>
    <row r="22" spans="1:10" ht="43.2" x14ac:dyDescent="0.3">
      <c r="A22" s="11">
        <v>16</v>
      </c>
      <c r="B22" s="1" t="s">
        <v>161</v>
      </c>
      <c r="C22" s="1" t="s">
        <v>178</v>
      </c>
      <c r="D22" s="1" t="s">
        <v>179</v>
      </c>
      <c r="E22" s="1" t="s">
        <v>180</v>
      </c>
      <c r="F22" s="1" t="s">
        <v>164</v>
      </c>
      <c r="G22" s="1" t="s">
        <v>181</v>
      </c>
      <c r="H22" s="1" t="s">
        <v>182</v>
      </c>
      <c r="I22" s="1" t="s">
        <v>183</v>
      </c>
      <c r="J22" s="12"/>
    </row>
    <row r="23" spans="1:10" ht="28.8" x14ac:dyDescent="0.3">
      <c r="A23" s="11">
        <v>17</v>
      </c>
      <c r="B23" s="1" t="s">
        <v>161</v>
      </c>
      <c r="C23" s="1" t="s">
        <v>184</v>
      </c>
      <c r="D23" s="1" t="s">
        <v>185</v>
      </c>
      <c r="E23" s="1" t="s">
        <v>186</v>
      </c>
      <c r="F23" s="1" t="s">
        <v>187</v>
      </c>
      <c r="G23" s="1" t="s">
        <v>188</v>
      </c>
      <c r="H23" s="1" t="s">
        <v>176</v>
      </c>
      <c r="I23" s="1" t="s">
        <v>189</v>
      </c>
      <c r="J23" s="12" t="s">
        <v>190</v>
      </c>
    </row>
    <row r="24" spans="1:10" ht="43.2" x14ac:dyDescent="0.3">
      <c r="A24" s="11">
        <v>18</v>
      </c>
      <c r="B24" s="1" t="s">
        <v>191</v>
      </c>
      <c r="C24" s="1" t="s">
        <v>162</v>
      </c>
      <c r="D24" s="1" t="s">
        <v>0</v>
      </c>
      <c r="E24" s="1" t="s">
        <v>192</v>
      </c>
      <c r="F24" s="1" t="s">
        <v>193</v>
      </c>
      <c r="G24" s="1" t="s">
        <v>194</v>
      </c>
      <c r="H24" s="1" t="s">
        <v>195</v>
      </c>
      <c r="I24" s="1" t="s">
        <v>196</v>
      </c>
      <c r="J24" s="12"/>
    </row>
    <row r="25" spans="1:10" ht="28.8" x14ac:dyDescent="0.3">
      <c r="A25" s="11">
        <v>19</v>
      </c>
      <c r="B25" s="1" t="s">
        <v>191</v>
      </c>
      <c r="C25" s="1" t="s">
        <v>167</v>
      </c>
      <c r="D25" s="1" t="s">
        <v>1</v>
      </c>
      <c r="E25" s="1" t="s">
        <v>192</v>
      </c>
      <c r="F25" s="1" t="s">
        <v>193</v>
      </c>
      <c r="G25" s="1" t="s">
        <v>197</v>
      </c>
      <c r="H25" s="1" t="s">
        <v>195</v>
      </c>
      <c r="I25" s="1" t="s">
        <v>198</v>
      </c>
      <c r="J25" s="12"/>
    </row>
    <row r="26" spans="1:10" ht="28.8" x14ac:dyDescent="0.3">
      <c r="A26" s="11">
        <v>20</v>
      </c>
      <c r="B26" s="1" t="s">
        <v>191</v>
      </c>
      <c r="C26" s="1" t="s">
        <v>170</v>
      </c>
      <c r="D26" s="1" t="s">
        <v>18</v>
      </c>
      <c r="E26" s="1" t="s">
        <v>199</v>
      </c>
      <c r="F26" s="1" t="s">
        <v>164</v>
      </c>
      <c r="G26" s="1" t="s">
        <v>171</v>
      </c>
      <c r="H26" s="1" t="s">
        <v>200</v>
      </c>
      <c r="I26" s="1" t="s">
        <v>201</v>
      </c>
      <c r="J26" s="12"/>
    </row>
    <row r="27" spans="1:10" x14ac:dyDescent="0.3">
      <c r="A27" s="11">
        <v>21</v>
      </c>
      <c r="B27" s="1" t="s">
        <v>191</v>
      </c>
      <c r="C27" s="1" t="s">
        <v>173</v>
      </c>
      <c r="D27" s="1" t="s">
        <v>3</v>
      </c>
      <c r="E27" s="1" t="s">
        <v>202</v>
      </c>
      <c r="F27" s="1" t="s">
        <v>193</v>
      </c>
      <c r="G27" s="1" t="s">
        <v>203</v>
      </c>
      <c r="H27" s="1" t="s">
        <v>176</v>
      </c>
      <c r="I27" s="1" t="s">
        <v>204</v>
      </c>
      <c r="J27" s="12"/>
    </row>
    <row r="28" spans="1:10" ht="28.8" x14ac:dyDescent="0.3">
      <c r="A28" s="11">
        <v>22</v>
      </c>
      <c r="B28" s="1" t="s">
        <v>191</v>
      </c>
      <c r="C28" s="1" t="s">
        <v>178</v>
      </c>
      <c r="D28" s="1" t="s">
        <v>67</v>
      </c>
      <c r="E28" s="1" t="s">
        <v>205</v>
      </c>
      <c r="F28" s="1" t="s">
        <v>206</v>
      </c>
      <c r="G28" s="1" t="s">
        <v>207</v>
      </c>
      <c r="H28" s="1" t="s">
        <v>208</v>
      </c>
      <c r="I28" s="1" t="s">
        <v>209</v>
      </c>
      <c r="J28" s="12"/>
    </row>
    <row r="29" spans="1:10" x14ac:dyDescent="0.3">
      <c r="A29" s="11">
        <v>23</v>
      </c>
      <c r="B29" s="1" t="s">
        <v>191</v>
      </c>
      <c r="C29" s="1" t="s">
        <v>184</v>
      </c>
      <c r="D29" s="1" t="s">
        <v>20</v>
      </c>
      <c r="E29" s="1" t="s">
        <v>205</v>
      </c>
      <c r="F29" s="1" t="s">
        <v>206</v>
      </c>
      <c r="G29" s="1" t="s">
        <v>210</v>
      </c>
      <c r="H29" s="1" t="s">
        <v>119</v>
      </c>
      <c r="I29" s="1" t="s">
        <v>211</v>
      </c>
      <c r="J29" s="12"/>
    </row>
    <row r="30" spans="1:10" ht="28.8" x14ac:dyDescent="0.3">
      <c r="A30" s="11">
        <v>24</v>
      </c>
      <c r="B30" s="1" t="s">
        <v>191</v>
      </c>
      <c r="C30" s="1" t="s">
        <v>212</v>
      </c>
      <c r="D30" s="1" t="s">
        <v>70</v>
      </c>
      <c r="E30" s="1" t="s">
        <v>213</v>
      </c>
      <c r="F30" s="1" t="s">
        <v>193</v>
      </c>
      <c r="G30" s="1" t="s">
        <v>214</v>
      </c>
      <c r="H30" s="1" t="s">
        <v>215</v>
      </c>
      <c r="I30" s="1" t="s">
        <v>216</v>
      </c>
      <c r="J30" s="12"/>
    </row>
    <row r="31" spans="1:10" x14ac:dyDescent="0.3">
      <c r="A31" s="11">
        <v>25</v>
      </c>
      <c r="B31" s="1" t="s">
        <v>217</v>
      </c>
      <c r="C31" s="1" t="s">
        <v>162</v>
      </c>
      <c r="D31" s="1" t="s">
        <v>22</v>
      </c>
      <c r="E31" s="1" t="s">
        <v>218</v>
      </c>
      <c r="F31" s="1" t="s">
        <v>219</v>
      </c>
      <c r="G31" s="1" t="s">
        <v>220</v>
      </c>
      <c r="H31" s="1" t="s">
        <v>119</v>
      </c>
      <c r="I31" s="1" t="s">
        <v>221</v>
      </c>
      <c r="J31" s="12"/>
    </row>
    <row r="32" spans="1:10" ht="43.2" x14ac:dyDescent="0.3">
      <c r="A32" s="11">
        <v>26</v>
      </c>
      <c r="B32" s="1" t="s">
        <v>217</v>
      </c>
      <c r="C32" s="1" t="s">
        <v>167</v>
      </c>
      <c r="D32" s="1" t="s">
        <v>23</v>
      </c>
      <c r="E32" s="1" t="s">
        <v>222</v>
      </c>
      <c r="F32" s="1" t="s">
        <v>219</v>
      </c>
      <c r="G32" s="1" t="s">
        <v>223</v>
      </c>
      <c r="H32" s="1" t="s">
        <v>195</v>
      </c>
      <c r="I32" s="1" t="s">
        <v>224</v>
      </c>
      <c r="J32" s="12" t="s">
        <v>225</v>
      </c>
    </row>
    <row r="33" spans="1:10" ht="43.2" x14ac:dyDescent="0.3">
      <c r="A33" s="11">
        <v>27</v>
      </c>
      <c r="B33" s="1" t="s">
        <v>217</v>
      </c>
      <c r="C33" s="1" t="s">
        <v>170</v>
      </c>
      <c r="D33" s="1" t="s">
        <v>24</v>
      </c>
      <c r="E33" s="1" t="s">
        <v>222</v>
      </c>
      <c r="F33" s="1" t="s">
        <v>219</v>
      </c>
      <c r="G33" s="1" t="s">
        <v>77</v>
      </c>
      <c r="H33" s="1" t="s">
        <v>226</v>
      </c>
      <c r="I33" s="1" t="s">
        <v>227</v>
      </c>
      <c r="J33" s="12" t="s">
        <v>228</v>
      </c>
    </row>
    <row r="34" spans="1:10" ht="28.8" x14ac:dyDescent="0.3">
      <c r="A34" s="11">
        <v>28</v>
      </c>
      <c r="B34" s="1" t="s">
        <v>217</v>
      </c>
      <c r="C34" s="1" t="s">
        <v>173</v>
      </c>
      <c r="D34" s="1" t="s">
        <v>25</v>
      </c>
      <c r="E34" s="1" t="s">
        <v>222</v>
      </c>
      <c r="F34" s="1" t="s">
        <v>219</v>
      </c>
      <c r="G34" s="1" t="s">
        <v>79</v>
      </c>
      <c r="H34" s="1" t="s">
        <v>226</v>
      </c>
      <c r="I34" s="1" t="s">
        <v>229</v>
      </c>
      <c r="J34" s="12" t="s">
        <v>230</v>
      </c>
    </row>
    <row r="35" spans="1:10" ht="43.2" x14ac:dyDescent="0.3">
      <c r="A35" s="11">
        <v>29</v>
      </c>
      <c r="B35" s="1" t="s">
        <v>217</v>
      </c>
      <c r="C35" s="1" t="s">
        <v>178</v>
      </c>
      <c r="D35" s="1" t="s">
        <v>26</v>
      </c>
      <c r="E35" s="1" t="s">
        <v>231</v>
      </c>
      <c r="F35" s="1" t="s">
        <v>219</v>
      </c>
      <c r="G35" s="1" t="s">
        <v>232</v>
      </c>
      <c r="H35" s="1" t="s">
        <v>119</v>
      </c>
      <c r="I35" s="1" t="s">
        <v>233</v>
      </c>
      <c r="J35" s="12"/>
    </row>
    <row r="36" spans="1:10" ht="43.2" x14ac:dyDescent="0.3">
      <c r="A36" s="11">
        <v>30</v>
      </c>
      <c r="B36" s="1" t="s">
        <v>217</v>
      </c>
      <c r="C36" s="1" t="s">
        <v>234</v>
      </c>
      <c r="D36" s="1" t="s">
        <v>235</v>
      </c>
      <c r="E36" s="1" t="s">
        <v>236</v>
      </c>
      <c r="F36" s="1" t="s">
        <v>237</v>
      </c>
      <c r="G36" s="1" t="s">
        <v>238</v>
      </c>
      <c r="H36" s="1" t="s">
        <v>239</v>
      </c>
      <c r="I36" s="1" t="s">
        <v>240</v>
      </c>
      <c r="J36" s="12"/>
    </row>
  </sheetData>
  <mergeCells count="4">
    <mergeCell ref="A1:J1"/>
    <mergeCell ref="A2:J2"/>
    <mergeCell ref="A3:J3"/>
    <mergeCell ref="A4:J4"/>
  </mergeCells>
  <conditionalFormatting sqref="H7:H36">
    <cfRule type="expression" dxfId="4" priority="1">
      <formula>ISNUMBER(SEARCH("Exact",H7))</formula>
    </cfRule>
    <cfRule type="expression" dxfId="3" priority="2">
      <formula>ISNUMBER(SEARCH("Derived",H7))</formula>
    </cfRule>
    <cfRule type="expression" dxfId="2" priority="3">
      <formula>ISNUMBER(SEARCH("No native AGS",H7))</formula>
    </cfRule>
    <cfRule type="expression" dxfId="1" priority="4">
      <formula>ISNUMBER(SEARCH("Composite",H7))</formula>
    </cfRule>
    <cfRule type="expression" dxfId="0" priority="5">
      <formula>ISNUMBER(SEARCH("Mixed",H7))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2"/>
  <sheetViews>
    <sheetView tabSelected="1" topLeftCell="C4" workbookViewId="0">
      <selection activeCell="E11" sqref="E11"/>
    </sheetView>
  </sheetViews>
  <sheetFormatPr defaultRowHeight="14.4" x14ac:dyDescent="0.3"/>
  <cols>
    <col min="1" max="2" width="28" customWidth="1"/>
    <col min="3" max="3" width="55" customWidth="1"/>
    <col min="4" max="4" width="30" customWidth="1"/>
    <col min="5" max="5" width="44" customWidth="1"/>
    <col min="6" max="6" width="48" customWidth="1"/>
  </cols>
  <sheetData>
    <row r="1" spans="1:6" ht="18" x14ac:dyDescent="0.35">
      <c r="A1" s="17" t="s">
        <v>241</v>
      </c>
      <c r="B1" s="17"/>
      <c r="C1" s="17"/>
      <c r="D1" s="17"/>
      <c r="E1" s="17"/>
      <c r="F1" s="17"/>
    </row>
    <row r="2" spans="1:6" x14ac:dyDescent="0.3">
      <c r="A2" s="18" t="s">
        <v>242</v>
      </c>
      <c r="B2" s="18"/>
      <c r="C2" s="18"/>
      <c r="D2" s="18"/>
      <c r="E2" s="18"/>
      <c r="F2" s="18"/>
    </row>
    <row r="4" spans="1:6" x14ac:dyDescent="0.3">
      <c r="A4" s="13" t="s">
        <v>243</v>
      </c>
      <c r="B4" s="13" t="s">
        <v>244</v>
      </c>
      <c r="C4" s="13" t="s">
        <v>245</v>
      </c>
      <c r="D4" s="13" t="s">
        <v>246</v>
      </c>
      <c r="E4" s="13" t="s">
        <v>247</v>
      </c>
      <c r="F4" s="13" t="s">
        <v>248</v>
      </c>
    </row>
    <row r="5" spans="1:6" ht="28.8" x14ac:dyDescent="0.3">
      <c r="A5" s="1" t="s">
        <v>249</v>
      </c>
      <c r="B5" s="1" t="s">
        <v>250</v>
      </c>
      <c r="C5" s="1" t="s">
        <v>251</v>
      </c>
      <c r="D5" s="1" t="s">
        <v>252</v>
      </c>
      <c r="E5" s="1" t="s">
        <v>253</v>
      </c>
      <c r="F5" s="1" t="s">
        <v>254</v>
      </c>
    </row>
    <row r="6" spans="1:6" ht="43.2" x14ac:dyDescent="0.3">
      <c r="A6" s="1" t="s">
        <v>255</v>
      </c>
      <c r="B6" s="1" t="s">
        <v>256</v>
      </c>
      <c r="C6" s="1" t="s">
        <v>257</v>
      </c>
      <c r="D6" s="1" t="s">
        <v>258</v>
      </c>
      <c r="E6" s="1" t="s">
        <v>259</v>
      </c>
      <c r="F6" s="1" t="s">
        <v>260</v>
      </c>
    </row>
    <row r="7" spans="1:6" ht="43.2" x14ac:dyDescent="0.3">
      <c r="A7" s="1" t="s">
        <v>261</v>
      </c>
      <c r="B7" s="1" t="s">
        <v>262</v>
      </c>
      <c r="C7" s="1" t="s">
        <v>263</v>
      </c>
      <c r="D7" s="1" t="s">
        <v>264</v>
      </c>
      <c r="E7" s="1" t="s">
        <v>265</v>
      </c>
      <c r="F7" s="1" t="s">
        <v>266</v>
      </c>
    </row>
    <row r="8" spans="1:6" ht="28.8" x14ac:dyDescent="0.3">
      <c r="A8" s="1" t="s">
        <v>267</v>
      </c>
      <c r="B8" s="1" t="s">
        <v>268</v>
      </c>
      <c r="C8" s="1" t="s">
        <v>269</v>
      </c>
      <c r="D8" s="1" t="s">
        <v>270</v>
      </c>
      <c r="E8" s="1" t="s">
        <v>271</v>
      </c>
      <c r="F8" s="1" t="s">
        <v>272</v>
      </c>
    </row>
    <row r="9" spans="1:6" ht="57.6" x14ac:dyDescent="0.3">
      <c r="A9" s="1" t="s">
        <v>273</v>
      </c>
      <c r="B9" s="1" t="s">
        <v>274</v>
      </c>
      <c r="C9" s="1" t="s">
        <v>275</v>
      </c>
      <c r="D9" s="1" t="s">
        <v>276</v>
      </c>
      <c r="E9" s="1" t="s">
        <v>277</v>
      </c>
      <c r="F9" s="1" t="s">
        <v>278</v>
      </c>
    </row>
    <row r="10" spans="1:6" ht="43.2" x14ac:dyDescent="0.3">
      <c r="A10" s="1" t="s">
        <v>279</v>
      </c>
      <c r="B10" s="1" t="s">
        <v>280</v>
      </c>
      <c r="C10" s="1" t="s">
        <v>281</v>
      </c>
      <c r="D10" s="1" t="s">
        <v>282</v>
      </c>
      <c r="E10" s="1" t="s">
        <v>283</v>
      </c>
      <c r="F10" s="1" t="s">
        <v>284</v>
      </c>
    </row>
    <row r="11" spans="1:6" ht="28.8" x14ac:dyDescent="0.3">
      <c r="A11" s="1" t="s">
        <v>285</v>
      </c>
      <c r="B11" s="1" t="s">
        <v>286</v>
      </c>
      <c r="C11" s="1" t="s">
        <v>287</v>
      </c>
      <c r="D11" s="1" t="s">
        <v>288</v>
      </c>
      <c r="E11" s="1" t="s">
        <v>289</v>
      </c>
      <c r="F11" s="1" t="s">
        <v>290</v>
      </c>
    </row>
    <row r="12" spans="1:6" ht="28.8" x14ac:dyDescent="0.3">
      <c r="A12" s="1" t="s">
        <v>291</v>
      </c>
      <c r="B12" s="1" t="s">
        <v>292</v>
      </c>
      <c r="C12" s="1" t="s">
        <v>293</v>
      </c>
      <c r="D12" s="1" t="s">
        <v>294</v>
      </c>
      <c r="E12" s="1" t="s">
        <v>295</v>
      </c>
      <c r="F12" s="1" t="s">
        <v>296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Borelog</vt:lpstr>
      <vt:lpstr>Rock profile</vt:lpstr>
      <vt:lpstr>SPT_Data</vt:lpstr>
      <vt:lpstr>ProjectInfo</vt:lpstr>
      <vt:lpstr>AGS_Mapping_Remarks</vt:lpstr>
      <vt:lpstr>DB_Extension_Notes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Jayakrishnan Menon</cp:lastModifiedBy>
  <dcterms:modified xsi:type="dcterms:W3CDTF">2026-09-08T12:19:43Z</dcterms:modified>
</cp:coreProperties>
</file>